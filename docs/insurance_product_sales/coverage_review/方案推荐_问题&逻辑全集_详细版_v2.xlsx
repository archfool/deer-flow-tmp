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 tabRatio="500" activeTab="1"/>
  </bookViews>
  <sheets>
    <sheet name="说明与图例" sheetId="1" r:id="rId1"/>
    <sheet name="全集总表" sheetId="2" r:id="rId2"/>
    <sheet name="缺失处置规则" sheetId="3" r:id="rId3"/>
    <sheet name="危险区·双栏打架" sheetId="4" r:id="rId4"/>
    <sheet name="解决问题×动作矩阵" sheetId="5" r:id="rId5"/>
    <sheet name="版本变更" sheetId="6" r:id="rId6"/>
    <sheet name="开放问题" sheetId="7" r:id="rId7"/>
  </sheets>
  <definedNames>
    <definedName name="_xlnm._FilterDatabase" localSheetId="1" hidden="1">全集总表!$A$1:$R$28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<sst xmlns="http://schemas.openxmlformats.org/spreadsheetml/2006/main" count="915" uniqueCount="612">
  <si>
    <r>
      <rPr>
        <b/>
        <sz val="14"/>
        <color rgb="FF1F3864"/>
        <rFont val="Noto Sans CJK SC"/>
        <charset val="134"/>
      </rPr>
      <t xml:space="preserve">方案推荐 </t>
    </r>
    <r>
      <rPr>
        <b/>
        <sz val="14"/>
        <color rgb="FF1F3864"/>
        <rFont val="Arial"/>
        <charset val="1"/>
      </rPr>
      <t xml:space="preserve">· </t>
    </r>
    <r>
      <rPr>
        <b/>
        <sz val="14"/>
        <color rgb="FF1F3864"/>
        <rFont val="Noto Sans CJK SC"/>
        <charset val="134"/>
      </rPr>
      <t>逻辑全集（详细版）</t>
    </r>
  </si>
  <si>
    <r>
      <rPr>
        <i/>
        <sz val="10"/>
        <color rgb="FF595959"/>
        <rFont val="Noto Sans CJK SC"/>
        <charset val="134"/>
      </rPr>
      <t xml:space="preserve">产品销售智能体 </t>
    </r>
    <r>
      <rPr>
        <i/>
        <sz val="10"/>
        <color rgb="FF595959"/>
        <rFont val="Arial"/>
        <charset val="1"/>
      </rPr>
      <t xml:space="preserve">/ stage3 </t>
    </r>
    <r>
      <rPr>
        <i/>
        <sz val="10"/>
        <color rgb="FF595959"/>
        <rFont val="Noto Sans CJK SC"/>
        <charset val="134"/>
      </rPr>
      <t xml:space="preserve">方案推荐 </t>
    </r>
    <r>
      <rPr>
        <i/>
        <sz val="10"/>
        <color rgb="FF595959"/>
        <rFont val="Arial"/>
        <charset val="1"/>
      </rPr>
      <t xml:space="preserve">· </t>
    </r>
    <r>
      <rPr>
        <i/>
        <sz val="10"/>
        <color rgb="FF595959"/>
        <rFont val="Noto Sans CJK SC"/>
        <charset val="134"/>
      </rPr>
      <t xml:space="preserve">对话式工具形态 </t>
    </r>
    <r>
      <rPr>
        <i/>
        <sz val="10"/>
        <color rgb="FF595959"/>
        <rFont val="Arial"/>
        <charset val="1"/>
      </rPr>
      <t>· v2</t>
    </r>
    <r>
      <rPr>
        <i/>
        <sz val="10"/>
        <color rgb="FF595959"/>
        <rFont val="Noto Sans CJK SC"/>
        <charset val="134"/>
      </rPr>
      <t>（对齐简要版修订）</t>
    </r>
  </si>
  <si>
    <t>一、这份表是什么</t>
  </si>
  <si>
    <r>
      <rPr>
        <sz val="10"/>
        <rFont val="Noto Sans CJK SC"/>
        <charset val="134"/>
      </rPr>
      <t xml:space="preserve">不是流程图，是「逻辑全集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依赖清单」。功能形态是对话式工具：代理人随时发起提问，信息永远不全。因此每一项都不是「要做的动作」，而是「要回答这个问题，我得知道什么」——即一个字段。</t>
    </r>
  </si>
  <si>
    <t>每个字段只有三种归宿：① 代理人给了 ② 我能默认（须记入假设账本）③ 我必须让他去问（进待补清单）。</t>
  </si>
  <si>
    <r>
      <rPr>
        <b/>
        <sz val="10"/>
        <rFont val="Noto Sans CJK SC"/>
        <charset val="134"/>
      </rPr>
      <t xml:space="preserve">二、结构：一个分流器 ＋ </t>
    </r>
    <r>
      <rPr>
        <b/>
        <sz val="10"/>
        <rFont val="Arial"/>
        <charset val="1"/>
      </rPr>
      <t xml:space="preserve">26 </t>
    </r>
    <r>
      <rPr>
        <b/>
        <sz val="10"/>
        <rFont val="Noto Sans CJK SC"/>
        <charset val="134"/>
      </rPr>
      <t>项</t>
    </r>
  </si>
  <si>
    <r>
      <rPr>
        <sz val="10"/>
        <rFont val="Noto Sans CJK SC"/>
        <charset val="134"/>
      </rPr>
      <t xml:space="preserve">【★ 分流器（前置，不计入 </t>
    </r>
    <r>
      <rPr>
        <sz val="10"/>
        <rFont val="Arial"/>
        <charset val="1"/>
      </rPr>
      <t xml:space="preserve">26 </t>
    </r>
    <r>
      <rPr>
        <sz val="10"/>
        <rFont val="Noto Sans CJK SC"/>
        <charset val="134"/>
      </rPr>
      <t>项）】「解决问题」——先判他在问什么，再决定跑什么。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类请求跑的东西完全不同。</t>
    </r>
  </si>
  <si>
    <r>
      <rPr>
        <sz val="10"/>
        <rFont val="Noto Sans CJK SC"/>
        <charset val="134"/>
      </rPr>
      <t xml:space="preserve">【接头 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】主题锁定——坐在两栏之上，是两栏共同的上游。</t>
    </r>
  </si>
  <si>
    <r>
      <rPr>
        <sz val="10"/>
        <rFont val="Noto Sans CJK SC"/>
        <charset val="134"/>
      </rPr>
      <t xml:space="preserve">【销售策略 </t>
    </r>
    <r>
      <rPr>
        <sz val="10"/>
        <rFont val="Arial"/>
        <charset val="1"/>
      </rPr>
      <t>9</t>
    </r>
    <r>
      <rPr>
        <sz val="10"/>
        <rFont val="Noto Sans CJK SC"/>
        <charset val="134"/>
      </rPr>
      <t>】出错 → 单丢了。</t>
    </r>
  </si>
  <si>
    <r>
      <rPr>
        <sz val="10"/>
        <rFont val="Noto Sans CJK SC"/>
        <charset val="134"/>
      </rPr>
      <t xml:space="preserve">【保险规划 </t>
    </r>
    <r>
      <rPr>
        <sz val="10"/>
        <rFont val="Arial"/>
        <charset val="1"/>
      </rPr>
      <t>12</t>
    </r>
    <r>
      <rPr>
        <sz val="10"/>
        <rFont val="Noto Sans CJK SC"/>
        <charset val="134"/>
      </rPr>
      <t xml:space="preserve">】出错 → 客户受损（买不到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赔不到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买错了）。</t>
    </r>
  </si>
  <si>
    <r>
      <rPr>
        <sz val="10"/>
        <rFont val="Noto Sans CJK SC"/>
        <charset val="134"/>
      </rPr>
      <t xml:space="preserve">【元层 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】关于「对话本身」的问题，两栏都装不下。</t>
    </r>
  </si>
  <si>
    <t>三、两栏切分的本质：不是活的分类，是事故的分类</t>
  </si>
  <si>
    <t>由此得到全表最重要的一条规则（见「缺失处置规则」页）：栏位归属本身 ＝ 升级规则。</t>
  </si>
  <si>
    <r>
      <rPr>
        <sz val="10"/>
        <rFont val="宋体"/>
        <charset val="134"/>
      </rPr>
      <t>保险规划栏字段缺失</t>
    </r>
    <r>
      <rPr>
        <sz val="10"/>
        <rFont val="Noto Sans CJK SC"/>
        <charset val="134"/>
      </rPr>
      <t xml:space="preserve"> → </t>
    </r>
    <r>
      <rPr>
        <sz val="10"/>
        <rFont val="宋体"/>
        <charset val="134"/>
      </rPr>
      <t>答案【是错的】</t>
    </r>
    <r>
      <rPr>
        <sz val="10"/>
        <rFont val="Noto Sans CJK SC"/>
        <charset val="134"/>
      </rPr>
      <t xml:space="preserve"> → </t>
    </r>
    <r>
      <rPr>
        <sz val="10"/>
        <rFont val="宋体"/>
        <charset val="134"/>
      </rPr>
      <t>阻塞，必须问；销售策略栏字段缺失</t>
    </r>
    <r>
      <rPr>
        <sz val="10"/>
        <rFont val="Noto Sans CJK SC"/>
        <charset val="134"/>
      </rPr>
      <t xml:space="preserve"> → </t>
    </r>
    <r>
      <rPr>
        <sz val="10"/>
        <rFont val="宋体"/>
        <charset val="134"/>
      </rPr>
      <t>答案【只是糙】</t>
    </r>
    <r>
      <rPr>
        <sz val="10"/>
        <rFont val="Noto Sans CJK SC"/>
        <charset val="134"/>
      </rPr>
      <t xml:space="preserve"> → </t>
    </r>
    <r>
      <rPr>
        <sz val="10"/>
        <rFont val="宋体"/>
        <charset val="134"/>
      </rPr>
      <t>降级，可默认或分支输出。</t>
    </r>
  </si>
  <si>
    <t>四、入选判据</t>
  </si>
  <si>
    <r>
      <rPr>
        <sz val="10"/>
        <rFont val="Noto Sans CJK SC"/>
        <charset val="134"/>
      </rPr>
      <t>「缺了它，工具的回答是『错』还是『糙』？」——是「错」进规划栏，是「糙」进策略栏，两个都沾的进危险区（见「危险区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双栏打架」页）。</t>
    </r>
  </si>
  <si>
    <t>五、输出三件套</t>
  </si>
  <si>
    <t>方案 ＋ 假设账本 ＋ 待补清单。缺信息时不能只反问代理人、而不给答案——一个只会反问的工具，代理人用两次就扔了。</t>
  </si>
  <si>
    <t>六、图例</t>
  </si>
  <si>
    <t>栏位配色</t>
  </si>
  <si>
    <t>★ 分流器</t>
  </si>
  <si>
    <r>
      <rPr>
        <sz val="10"/>
        <rFont val="Noto Sans CJK SC"/>
        <charset val="134"/>
      </rPr>
      <t xml:space="preserve">前置，不计入 </t>
    </r>
    <r>
      <rPr>
        <sz val="10"/>
        <rFont val="Arial"/>
        <charset val="1"/>
      </rPr>
      <t xml:space="preserve">26 </t>
    </r>
    <r>
      <rPr>
        <sz val="10"/>
        <rFont val="Noto Sans CJK SC"/>
        <charset val="134"/>
      </rPr>
      <t>项。先判他在问什么，再决定跑什么。</t>
    </r>
  </si>
  <si>
    <t>接头（双栏共有）</t>
  </si>
  <si>
    <t>同时是两栏的上游或裁决点。</t>
  </si>
  <si>
    <t>销售策略</t>
  </si>
  <si>
    <r>
      <rPr>
        <sz val="10"/>
        <rFont val="Noto Sans CJK SC"/>
        <charset val="134"/>
      </rPr>
      <t xml:space="preserve">出错 → 单丢了。缺失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降级。</t>
    </r>
  </si>
  <si>
    <t>保险规划</t>
  </si>
  <si>
    <r>
      <rPr>
        <sz val="10"/>
        <rFont val="Noto Sans CJK SC"/>
        <charset val="134"/>
      </rPr>
      <t xml:space="preserve">出错 → 客户受损。缺失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阻塞。</t>
    </r>
  </si>
  <si>
    <t>元层</t>
  </si>
  <si>
    <t>关于「对话本身」的问题。</t>
  </si>
  <si>
    <t>缺失后果配色</t>
  </si>
  <si>
    <t>错</t>
  </si>
  <si>
    <r>
      <rPr>
        <sz val="10"/>
        <rFont val="Noto Sans CJK SC"/>
        <charset val="134"/>
      </rPr>
      <t xml:space="preserve">答案是错的，且错得贵（做完核保归零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赔不到）。不许默认。</t>
    </r>
  </si>
  <si>
    <t>糙</t>
  </si>
  <si>
    <t>答案只是通用，不至于有害。可默认或分支。</t>
  </si>
  <si>
    <t>无法起步</t>
  </si>
  <si>
    <t>缺了它整个回答无从组织。</t>
  </si>
  <si>
    <t>危险区</t>
  </si>
  <si>
    <r>
      <rPr>
        <sz val="10"/>
        <rFont val="Noto Sans CJK SC"/>
        <charset val="134"/>
      </rPr>
      <t>双重身份项（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项）。工具替代理人裁决的每一次，就是假设账本里的一条。</t>
    </r>
  </si>
  <si>
    <t>七、统计</t>
  </si>
  <si>
    <t>接头</t>
  </si>
  <si>
    <t>合计（不含分流器）</t>
  </si>
  <si>
    <t>★ 分流器（前置，不计入）</t>
  </si>
  <si>
    <t>危险区（双重身份）</t>
  </si>
  <si>
    <t>编号</t>
  </si>
  <si>
    <t>分组</t>
  </si>
  <si>
    <t>栏位</t>
  </si>
  <si>
    <t>项目名称</t>
  </si>
  <si>
    <t>一句话定位（解决什么问题）</t>
  </si>
  <si>
    <t>含义详解</t>
  </si>
  <si>
    <t>示例</t>
  </si>
  <si>
    <t>缺失后果类型</t>
  </si>
  <si>
    <t>缺失后果详述</t>
  </si>
  <si>
    <t>信息缺失时的处置</t>
  </si>
  <si>
    <r>
      <rPr>
        <b/>
        <sz val="10"/>
        <color rgb="FFFFFFFF"/>
        <rFont val="Noto Sans CJK SC"/>
        <charset val="134"/>
      </rPr>
      <t xml:space="preserve">默认值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>推定逻辑</t>
    </r>
  </si>
  <si>
    <t>输入来源</t>
  </si>
  <si>
    <t>输出物（这一项要吐出什么）</t>
  </si>
  <si>
    <t>打架点（双重身份说明）</t>
  </si>
  <si>
    <t>状态</t>
  </si>
  <si>
    <r>
      <rPr>
        <b/>
        <sz val="10"/>
        <color rgb="FFFFFFFF"/>
        <rFont val="Arial"/>
        <charset val="1"/>
      </rPr>
      <t xml:space="preserve">Skill / Knowledge </t>
    </r>
    <r>
      <rPr>
        <b/>
        <sz val="10"/>
        <color rgb="FFFFFFFF"/>
        <rFont val="Noto Sans CJK SC"/>
        <charset val="134"/>
      </rPr>
      <t>归属</t>
    </r>
  </si>
  <si>
    <t>开放问题与备注</t>
  </si>
  <si>
    <t>★</t>
  </si>
  <si>
    <t>前置</t>
  </si>
  <si>
    <t>分流器</t>
  </si>
  <si>
    <t>解决问题（请求粒度识别）</t>
  </si>
  <si>
    <t>他到底在问什么——不同的问题，跑的东西完全不同。</t>
  </si>
  <si>
    <r>
      <rPr>
        <sz val="10"/>
        <rFont val="Noto Sans CJK SC"/>
        <charset val="134"/>
      </rPr>
      <t xml:space="preserve">【本版调整：从元层的一项，提升为前置分流器，不计入 </t>
    </r>
    <r>
      <rPr>
        <sz val="10"/>
        <rFont val="Arial"/>
        <charset val="1"/>
      </rPr>
      <t xml:space="preserve">26 </t>
    </r>
    <r>
      <rPr>
        <sz val="10"/>
        <rFont val="Noto Sans CJK SC"/>
        <charset val="134"/>
      </rPr>
      <t>项】。它先于一切，决定后面跑什么。
五类请求：
① 「帮我给李平安做个方案」→ 【方案的设计】：跑全套。
② 「帮我看看这个方案好不好」→ 【只做评审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体检】：输入是代理人自己做的方案，只跑终检，不跑设计。
③ 「该怎么给李平安讲解这个方案」→ 【</t>
    </r>
    <r>
      <rPr>
        <sz val="10"/>
        <rFont val="Arial"/>
        <charset val="1"/>
      </rPr>
      <t xml:space="preserve">Stage4 </t>
    </r>
    <r>
      <rPr>
        <sz val="10"/>
        <rFont val="Noto Sans CJK SC"/>
        <charset val="134"/>
      </rPr>
      <t>沟通策略的问题，但是会掉落进来】：</t>
    </r>
    <r>
      <rPr>
        <sz val="10"/>
        <rFont val="Arial"/>
        <charset val="1"/>
      </rPr>
      <t xml:space="preserve">stage3 </t>
    </r>
    <r>
      <rPr>
        <sz val="10"/>
        <rFont val="Noto Sans CJK SC"/>
        <charset val="134"/>
      </rPr>
      <t xml:space="preserve">只给骨架钩子，具体话术转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>。
④ 「这两种方案哪个好」→ 【评审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问答】：先问这两案是不是同一个主题——不同主题的两个方案不可比。
⑤ 「这份方案有什么需要注意的点」→ 【评审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待补清单】。
【一个必须看到的事实】：五类里有四类（②③④⑤）是围绕【已有方案】的，只有 ① 是设计。这意味着——本工具的主战场是【评审】，不是设计。而评审的引擎就是四项：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 xml:space="preserve">理赔核验 ＋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 xml:space="preserve">反向压测 ＋ </t>
    </r>
    <r>
      <rPr>
        <sz val="10"/>
        <rFont val="Arial"/>
        <charset val="1"/>
      </rPr>
      <t xml:space="preserve">G12 </t>
    </r>
    <r>
      <rPr>
        <sz val="10"/>
        <rFont val="Noto Sans CJK SC"/>
        <charset val="134"/>
      </rPr>
      <t xml:space="preserve">适当性 ＋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 xml:space="preserve">可讲性。这四项在 </t>
    </r>
    <r>
      <rPr>
        <sz val="10"/>
        <rFont val="Arial"/>
        <charset val="1"/>
      </rPr>
      <t xml:space="preserve">4/5 </t>
    </r>
    <r>
      <rPr>
        <sz val="10"/>
        <rFont val="Noto Sans CJK SC"/>
        <charset val="134"/>
      </rPr>
      <t>类请求里都必跑，它们是这个工具真正的心脏。</t>
    </r>
  </si>
  <si>
    <r>
      <rPr>
        <sz val="10"/>
        <rFont val="Noto Sans CJK SC"/>
        <charset val="134"/>
      </rPr>
      <t>• ①：「</t>
    </r>
    <r>
      <rPr>
        <sz val="10"/>
        <rFont val="Arial"/>
        <charset val="1"/>
      </rPr>
      <t>38</t>
    </r>
    <r>
      <rPr>
        <sz val="10"/>
        <rFont val="Noto Sans CJK SC"/>
        <charset val="134"/>
      </rPr>
      <t>岁三口之家，预算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万，帮我给李平安做个方案」→ 全套设计。
• ②：「这是我给李平安做的方案，你看有啥问题」→ 只跑：受益人写法？豁免配了吗？保费占比多少？可讲吗？超配吗？
• ③：「这个方案该怎么跟他讲」→ 先回退检查设计（是不是主题没打中），给论点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论据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论证骨架，然后转 </t>
    </r>
    <r>
      <rPr>
        <sz val="10"/>
        <rFont val="Arial"/>
        <charset val="1"/>
      </rPr>
      <t xml:space="preserve">stage4 </t>
    </r>
    <r>
      <rPr>
        <sz val="10"/>
        <rFont val="Noto Sans CJK SC"/>
        <charset val="134"/>
      </rPr>
      <t>出话术。
• ④：「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>方案和</t>
    </r>
    <r>
      <rPr>
        <sz val="10"/>
        <rFont val="Arial"/>
        <charset val="1"/>
      </rPr>
      <t>B</t>
    </r>
    <r>
      <rPr>
        <sz val="10"/>
        <rFont val="Noto Sans CJK SC"/>
        <charset val="134"/>
      </rPr>
      <t>方案哪个好」→ 先判：两案主题是否相同？不同主题不可比，得先让代理人锁主题。
• ⑤：「这份方案有什么要注意的」→ 评审结论 ＋ 待补清单（还差什么没问）。</t>
    </r>
  </si>
  <si>
    <t>识别错 → 答非所问（他要体检，你给他重做一份）。浪费他的时间，也削弱信任。</t>
  </si>
  <si>
    <t>必须识别</t>
  </si>
  <si>
    <t>不明确时按 ① 处理，但开头一句确认。</t>
  </si>
  <si>
    <t>代理人的提问本身</t>
  </si>
  <si>
    <r>
      <rPr>
        <sz val="10"/>
        <rFont val="Noto Sans CJK SC"/>
        <charset val="134"/>
      </rPr>
      <t>粒度判定 → 决定本轮跑哪些项（见「解决问题</t>
    </r>
    <r>
      <rPr>
        <sz val="10"/>
        <rFont val="Arial"/>
        <charset val="1"/>
      </rPr>
      <t>×</t>
    </r>
    <r>
      <rPr>
        <sz val="10"/>
        <rFont val="Noto Sans CJK SC"/>
        <charset val="134"/>
      </rPr>
      <t>动作矩阵」页）。</t>
    </r>
  </si>
  <si>
    <t>本版提级</t>
  </si>
  <si>
    <t>Skill</t>
  </si>
  <si>
    <r>
      <rPr>
        <sz val="10"/>
        <rFont val="Noto Sans CJK SC"/>
        <charset val="134"/>
      </rPr>
      <t xml:space="preserve">【开放】原 </t>
    </r>
    <r>
      <rPr>
        <sz val="10"/>
        <rFont val="Arial"/>
        <charset val="1"/>
      </rPr>
      <t xml:space="preserve">v1 </t>
    </r>
    <r>
      <rPr>
        <sz val="10"/>
        <rFont val="Noto Sans CJK SC"/>
        <charset val="134"/>
      </rPr>
      <t xml:space="preserve">里的「面谈前我该注意什么（只出待补清单）」这一类在修订版里被删掉了，但 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客户进程仍保留「还没见过面」这个取值——两者存在张力：如果没有「还没见过面」的请求入口，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的这个取值就没有对应场景。需确认是有意删除还是并入 ⑤。</t>
    </r>
  </si>
  <si>
    <t>S01</t>
  </si>
  <si>
    <t>接头（两栏上游）</t>
  </si>
  <si>
    <t>主题锁定</t>
  </si>
  <si>
    <t>这一单卖的是哪一件事。</t>
  </si>
  <si>
    <r>
      <rPr>
        <sz val="10"/>
        <rFont val="宋体"/>
        <charset val="134"/>
      </rPr>
      <t>【它不属于任何一栏</t>
    </r>
    <r>
      <rPr>
        <sz val="10"/>
        <rFont val="Noto Sans CJK SC"/>
        <charset val="134"/>
      </rPr>
      <t>——</t>
    </r>
    <r>
      <rPr>
        <sz val="10"/>
        <rFont val="宋体"/>
        <charset val="134"/>
      </rPr>
      <t>它是两栏的接头】。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绩优不设计「综合方案」。他们心里先锁定一个主张：这单是「给太太一个交代」，还是「孩子的教育金不能断」，还是「我不想拖累儿子」。【一个方案只能有一个核心主题，其余责任是搭车的】。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为什么：讲不清主题的方案，客户签不下去</t>
    </r>
    <r>
      <rPr>
        <sz val="10"/>
        <rFont val="Noto Sans CJK SC"/>
        <charset val="134"/>
      </rPr>
      <t>——</t>
    </r>
    <r>
      <rPr>
        <sz val="10"/>
        <rFont val="宋体"/>
        <charset val="134"/>
      </rPr>
      <t>他不知道自己在买什么。新人的方案六个维度都覆盖，看着专业，实际是「什么都保一点，什么都不够」，客户听完的感受是「好像挺全的，我回去想想」。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它同时是两栏的上游：</t>
    </r>
    <r>
      <rPr>
        <sz val="10"/>
        <rFont val="Noto Sans CJK SC"/>
        <charset val="134"/>
      </rPr>
      <t xml:space="preserve">
■ </t>
    </r>
    <r>
      <rPr>
        <sz val="10"/>
        <rFont val="宋体"/>
        <charset val="134"/>
      </rPr>
      <t>规划侧：</t>
    </r>
    <r>
      <rPr>
        <sz val="10"/>
        <rFont val="Arial"/>
        <charset val="134"/>
      </rPr>
      <t xml:space="preserve">G04 </t>
    </r>
    <r>
      <rPr>
        <sz val="10"/>
        <rFont val="宋体"/>
        <charset val="134"/>
      </rPr>
      <t>保额分配的【排序依据】就是它（缺口大小</t>
    </r>
    <r>
      <rPr>
        <sz val="10"/>
        <rFont val="Noto Sans CJK SC"/>
        <charset val="134"/>
      </rPr>
      <t xml:space="preserve"> ≠ </t>
    </r>
    <r>
      <rPr>
        <sz val="10"/>
        <rFont val="宋体"/>
        <charset val="134"/>
      </rPr>
      <t>填补优先级）。</t>
    </r>
    <r>
      <rPr>
        <sz val="10"/>
        <rFont val="Noto Sans CJK SC"/>
        <charset val="134"/>
      </rPr>
      <t xml:space="preserve">
■ </t>
    </r>
    <r>
      <rPr>
        <sz val="10"/>
        <rFont val="宋体"/>
        <charset val="134"/>
      </rPr>
      <t>策略侧：</t>
    </r>
    <r>
      <rPr>
        <sz val="10"/>
        <rFont val="Arial"/>
        <charset val="134"/>
      </rPr>
      <t>S07</t>
    </r>
    <r>
      <rPr>
        <sz val="10"/>
        <rFont val="宋体"/>
        <charset val="134"/>
      </rPr>
      <t>「讲什么」的依据是它，</t>
    </r>
    <r>
      <rPr>
        <sz val="10"/>
        <rFont val="Arial"/>
        <charset val="134"/>
      </rPr>
      <t xml:space="preserve">S05 </t>
    </r>
    <r>
      <rPr>
        <sz val="10"/>
        <rFont val="宋体"/>
        <charset val="134"/>
      </rPr>
      <t>反向压测的靶心也是它。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【它是全集里唯一一个既不能默认、又不能强问的字段】</t>
    </r>
    <r>
      <rPr>
        <sz val="10"/>
        <rFont val="Noto Sans CJK SC"/>
        <charset val="134"/>
      </rPr>
      <t>——</t>
    </r>
    <r>
      <rPr>
        <sz val="10"/>
        <rFont val="宋体"/>
        <charset val="134"/>
      </rPr>
      <t>它是客户的情绪落点，代理人常常答不上来（「客户在意啥？我哪知道」）。</t>
    </r>
    <r>
      <rPr>
        <sz val="10"/>
        <rFont val="Noto Sans CJK SC"/>
        <charset val="134"/>
      </rPr>
      <t xml:space="preserve">
</t>
    </r>
    <r>
      <rPr>
        <sz val="10"/>
        <rFont val="宋体"/>
        <charset val="134"/>
      </rPr>
      <t>【在评审类请求里它是第一问】：评审一份方案，先看它有没有主题；比较两份方案，先看它们是不是同一个主题（不同主题不可比）。</t>
    </r>
  </si>
  <si>
    <r>
      <rPr>
        <sz val="10"/>
        <rFont val="Noto Sans CJK SC"/>
        <charset val="134"/>
      </rPr>
      <t xml:space="preserve">• 主题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缺口打架：规划算出最大缺口是重疾</t>
    </r>
    <r>
      <rPr>
        <sz val="10"/>
        <rFont val="Arial"/>
        <charset val="1"/>
      </rPr>
      <t>80</t>
    </r>
    <r>
      <rPr>
        <sz val="10"/>
        <rFont val="Noto Sans CJK SC"/>
        <charset val="134"/>
      </rPr>
      <t>万；但客户嘴里反复念叨的是「孩子明年出国」。
  → 绩优的裁决：【用他关心的做入口，用他需要的做主体】。教育金做引子和情绪落点，重疾做保额大头。不是二选一。
• 主题撑不住：主题是「太太的后半辈子」，但预算只够买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万寿险，而房贷就剩</t>
    </r>
    <r>
      <rPr>
        <sz val="10"/>
        <rFont val="Arial"/>
        <charset val="1"/>
      </rPr>
      <t>280</t>
    </r>
    <r>
      <rPr>
        <sz val="10"/>
        <rFont val="Noto Sans CJK SC"/>
        <charset val="134"/>
      </rPr>
      <t xml:space="preserve">万 → 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万撑不住这个主题。
  → 正确动作不是硬做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万，而是【换一个更小的主题做透】：先把重疾一件事做足，寿险这次一个字不提。
• 「核心」二字的含义：可以有搭车责任（顺带把医疗补上），但核心只能有一个。搭车的不许喧宾夺主。
• 评审第一问：一份方案说不出主题 → 它大概率是「险种堆叠」，不是方案。</t>
    </r>
  </si>
  <si>
    <t>缺了它：保额分配无从排序、讲什么无从谈起、反向压测没有靶心、两份方案无从比较。整个回答退化成一张通用配置表。</t>
  </si>
  <si>
    <t>分支输出（不能强问）</t>
  </si>
  <si>
    <t>客户判型可给出该类客户的典型主题候选（如「三口之家标准款」的典型主题是「支柱倒了家不散」），但必须以【分支】形式给出、让代理人认领，不能替他锁死。</t>
  </si>
  <si>
    <t>代理人提供（客户原话最有价值）／客户判型推定候选</t>
  </si>
  <si>
    <r>
      <rPr>
        <sz val="10"/>
        <rFont val="Noto Sans CJK SC"/>
        <charset val="134"/>
      </rPr>
      <t>锁定的核心主题 ＋ 搭车责任清单 ＋（若不确定）</t>
    </r>
    <r>
      <rPr>
        <sz val="10"/>
        <rFont val="Arial"/>
        <charset val="1"/>
      </rPr>
      <t xml:space="preserve">2-3 </t>
    </r>
    <r>
      <rPr>
        <sz val="10"/>
        <rFont val="Noto Sans CJK SC"/>
        <charset val="134"/>
      </rPr>
      <t>个主题分支，每个分支对应一套不同的保额排序与讲解入口。</t>
    </r>
  </si>
  <si>
    <t>是</t>
  </si>
  <si>
    <t>它本身就是「架①」的战场：规划说「最大缺口是重疾」，策略说「他压根不关心重疾，他念叨孩子出国」。裁决规则：入口用策略侧，主体用规划侧。</t>
  </si>
  <si>
    <t>本轮补充</t>
  </si>
  <si>
    <r>
      <rPr>
        <sz val="10"/>
        <rFont val="Noto Sans CJK SC"/>
        <charset val="134"/>
      </rPr>
      <t xml:space="preserve">【核心开放问题】这个字段的处置方式（问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分支）会定下整个模块是「问答型」还是「启发型」。倾向：分支输出＋让代理人认领。</t>
    </r>
  </si>
  <si>
    <t>S02</t>
  </si>
  <si>
    <t>保费水温</t>
  </si>
  <si>
    <t>客户能接受的保费区间——「卖多少」的输入。</t>
  </si>
  <si>
    <r>
      <rPr>
        <sz val="10"/>
        <rFont val="Noto Sans CJK SC"/>
        <charset val="134"/>
      </rPr>
      <t xml:space="preserve">【原图缺，而 </t>
    </r>
    <r>
      <rPr>
        <sz val="10"/>
        <rFont val="Arial"/>
        <charset val="1"/>
      </rPr>
      <t>S03</t>
    </r>
    <r>
      <rPr>
        <sz val="10"/>
        <rFont val="Noto Sans CJK SC"/>
        <charset val="134"/>
      </rPr>
      <t>「卖多少」没有它就是无源之水】。
绩优在离开客户家之前，一定已经知道客户能接受的保费区间——不是问出来的，是【试】出来的。一句「像您这情况，通常大家会拿年收入的一成左右来安排这件事，您觉得这个量级合适吗」，客户的表情就把答案给了。
【它有严格的时间窗】：必须在缺口共识【之后】说（不然缺口就废了：预算一旦先落地，缺口退化成摆设），又必须在离场【之前】说（不然回去没法设计）。
水温不是一个数，是【两个值 ＋ 一次协商】：
■ 主观水温：客户口头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表情给出的
■ 客观可承受额：双十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适当性财务评估算出的
分叉规则：主观</t>
    </r>
    <r>
      <rPr>
        <sz val="10"/>
        <rFont val="Arial"/>
        <charset val="1"/>
      </rPr>
      <t>&lt;</t>
    </r>
    <r>
      <rPr>
        <sz val="10"/>
        <rFont val="Noto Sans CJK SC"/>
        <charset val="134"/>
      </rPr>
      <t>客观 → 有教育空间，可向上引导；主观</t>
    </r>
    <r>
      <rPr>
        <sz val="10"/>
        <rFont val="Arial"/>
        <charset val="1"/>
      </rPr>
      <t>&gt;</t>
    </r>
    <r>
      <rPr>
        <sz val="10"/>
        <rFont val="Noto Sans CJK SC"/>
        <charset val="134"/>
      </rPr>
      <t>客观 → 适当性反向要求向下压（触发超额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缴费能力提示）。
结论：【预算是待协商变量，不是天花板】。工具不得把代理人报来的数字直接当上限。</t>
    </r>
  </si>
  <si>
    <r>
      <rPr>
        <sz val="10"/>
        <rFont val="Noto Sans CJK SC"/>
        <charset val="134"/>
      </rPr>
      <t>• 试温话术：「通常大家拿年收入一成来安排这件事」——客户说「一成太多了吧」→ 水温偏低；客户说「差不多」→ 正常；客户说「我一年光孩子补习就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万」→ 水温远高于他报出的数。
• 主观</t>
    </r>
    <r>
      <rPr>
        <sz val="10"/>
        <rFont val="Arial"/>
        <charset val="1"/>
      </rPr>
      <t>&lt;</t>
    </r>
    <r>
      <rPr>
        <sz val="10"/>
        <rFont val="Noto Sans CJK SC"/>
        <charset val="134"/>
      </rPr>
      <t>客观：客户说「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万吧」，但年收入</t>
    </r>
    <r>
      <rPr>
        <sz val="10"/>
        <rFont val="Arial"/>
        <charset val="1"/>
      </rPr>
      <t>80</t>
    </r>
    <r>
      <rPr>
        <sz val="10"/>
        <rFont val="Noto Sans CJK SC"/>
        <charset val="134"/>
      </rPr>
      <t>万（客观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万）→ 这不是预算，是防御姿态。
• 主观</t>
    </r>
    <r>
      <rPr>
        <sz val="10"/>
        <rFont val="Arial"/>
        <charset val="1"/>
      </rPr>
      <t>&gt;</t>
    </r>
    <r>
      <rPr>
        <sz val="10"/>
        <rFont val="Noto Sans CJK SC"/>
        <charset val="134"/>
      </rPr>
      <t>客观：客户豪气说「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万没问题」，但年收入</t>
    </r>
    <r>
      <rPr>
        <sz val="10"/>
        <rFont val="Arial"/>
        <charset val="1"/>
      </rPr>
      <t>25</t>
    </r>
    <r>
      <rPr>
        <sz val="10"/>
        <rFont val="Noto Sans CJK SC"/>
        <charset val="134"/>
      </rPr>
      <t xml:space="preserve">万 → </t>
    </r>
    <r>
      <rPr>
        <sz val="10"/>
        <rFont val="Arial"/>
        <charset val="1"/>
      </rPr>
      <t>40%</t>
    </r>
    <r>
      <rPr>
        <sz val="10"/>
        <rFont val="Noto Sans CJK SC"/>
        <charset val="134"/>
      </rPr>
      <t>占比，存续核验直接报警。
• 【工具形态下的转化】：代理人一开口就是「客户预算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万，给个方案」——他一定这么问。工具照样接住，同时独立算缺口，把两个数一起还回去，外加一句：「缺口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万，他给的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万只够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万。别急着报这个方案——先让他自己把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万算出来，再谈这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万能买到什么。」【原来是闸门，现在是话术提醒】。</t>
    </r>
  </si>
  <si>
    <t>缺了它 → 只能给「不带预算约束的理想方案」，代理人拿去用会被客户当场噎住。但不至于有害。</t>
  </si>
  <si>
    <t>可默认（标假设）</t>
  </si>
  <si>
    <r>
      <rPr>
        <sz val="10"/>
        <rFont val="Noto Sans CJK SC"/>
        <charset val="134"/>
      </rPr>
      <t>按年收入</t>
    </r>
    <r>
      <rPr>
        <sz val="10"/>
        <rFont val="Arial"/>
        <charset val="1"/>
      </rPr>
      <t>10%</t>
    </r>
    <r>
      <rPr>
        <sz val="10"/>
        <rFont val="Noto Sans CJK SC"/>
        <charset val="134"/>
      </rPr>
      <t>给客观区间，显式标注「这是按双十的粗估，客户实际水温需要试」，并附试温话术。</t>
    </r>
  </si>
  <si>
    <t>代理人提供（试出来的）／按收入推定客观区间</t>
  </si>
  <si>
    <t>① 主观水温（若有）② 客观可承受区间 ③ 二者的分叉判断 ④ 若代理人没试过：给试温话术 ＋ 提醒时间窗。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</si>
  <si>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>（试温规则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时间窗）＋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（话术素材）</t>
    </r>
  </si>
  <si>
    <t>「顺序约束」在对话式工具里的典型转化：从流程闸门 → 输出内容。</t>
  </si>
  <si>
    <t>S03</t>
  </si>
  <si>
    <t>卖多少</t>
  </si>
  <si>
    <t>首单保额——从保费倒推，且故意不填满缺口。</t>
  </si>
  <si>
    <r>
      <rPr>
        <sz val="10"/>
        <rFont val="Noto Sans CJK SC"/>
        <charset val="134"/>
      </rPr>
      <t>【全流程最反直觉的一步】。缺口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万，绩优这次可能只卖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万，而且是【故意的】。
为什么：一次性把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万缺口填满，保费会到客户的痛点之上，方案会死。绩优的算法是——从客户能痛快说「好」的保费区间，【倒推】这次能买多少保额，然后把剩下的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万缺口【明确留在桌上】，说一句「这次我们先解决最要命的那部分，剩下的等您明年奖金下来我们再补」。
这句话有两个作用：客户当下没有压力（他知道这不是终局）；你明年有理由再上门（加保钩子已埋好）。【首单方案是故意不完整的】。新人试图一次做完美，结果一次都没做成。
【所以现实的算法不是 缺口→保额→产品→保费 这条正推链，而是双向的】：正推算缺口用来建立落差，倒推从保费定首单，【两者之间的差额不是设计失败，是设计成果】——它是下一次见面的理由。
【规划侧对本项有否决权】：卖多少有【下限】。若首单保额连主题都撑不住（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过不去），正确动作不是硬做，而是【换一个更小的主题做透】。</t>
    </r>
    <r>
      <rPr>
        <sz val="10"/>
        <rFont val="Arial"/>
        <charset val="1"/>
      </rPr>
      <t xml:space="preserve">G11 </t>
    </r>
    <r>
      <rPr>
        <sz val="10"/>
        <rFont val="Noto Sans CJK SC"/>
        <charset val="134"/>
      </rPr>
      <t>存续核验也有否决权：交不起就是交不起。</t>
    </r>
  </si>
  <si>
    <r>
      <rPr>
        <sz val="10"/>
        <rFont val="Noto Sans CJK SC"/>
        <charset val="134"/>
      </rPr>
      <t>• 双向算法：缺口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万（正推，建立落差）→ 水温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万（试出来）→ 反推首单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万（</t>
    </r>
    <r>
      <rPr>
        <sz val="10"/>
        <rFont val="Arial"/>
        <charset val="1"/>
      </rPr>
      <t xml:space="preserve">G06 </t>
    </r>
    <r>
      <rPr>
        <sz val="10"/>
        <rFont val="Noto Sans CJK SC"/>
        <charset val="134"/>
      </rPr>
      <t>反向试算）→ 留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万在桌上。
• 加保钩子：「这次先把最要命的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万解决，剩下的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万，等明年奖金下来我们再补上」。
• 规划侧否决：主题是「太太的后半辈子」，房贷剩</t>
    </r>
    <r>
      <rPr>
        <sz val="10"/>
        <rFont val="Arial"/>
        <charset val="1"/>
      </rPr>
      <t>280</t>
    </r>
    <r>
      <rPr>
        <sz val="10"/>
        <rFont val="Noto Sans CJK SC"/>
        <charset val="134"/>
      </rPr>
      <t>万 → 首单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万撑不住（出事那天房子还是没保住）→ 不硬做，换主题：这次只做重疾，做足。
• 存续侧否决：反推出首单能买</t>
    </r>
    <r>
      <rPr>
        <sz val="10"/>
        <rFont val="Arial"/>
        <charset val="1"/>
      </rPr>
      <t>150</t>
    </r>
    <r>
      <rPr>
        <sz val="10"/>
        <rFont val="Noto Sans CJK SC"/>
        <charset val="134"/>
      </rPr>
      <t>万，但年缴要占收入</t>
    </r>
    <r>
      <rPr>
        <sz val="10"/>
        <rFont val="Arial"/>
        <charset val="1"/>
      </rPr>
      <t xml:space="preserve">25% → G11 </t>
    </r>
    <r>
      <rPr>
        <sz val="10"/>
        <rFont val="Noto Sans CJK SC"/>
        <charset val="134"/>
      </rPr>
      <t>报警 → 压回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万。
• 评审场景下的用法：看一份已有方案，若它一次填满了全部缺口且保费过痛点 → 提示「这单大概率签不下来，建议拆成两次」。</t>
    </r>
  </si>
  <si>
    <r>
      <rPr>
        <sz val="10"/>
        <rFont val="Noto Sans CJK SC"/>
        <charset val="134"/>
      </rPr>
      <t>缺了它 → 输出一个「一次填满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万缺口」的理想方案，保费过痛点，代理人拿去必死。但方案本身不「错」。</t>
    </r>
  </si>
  <si>
    <r>
      <rPr>
        <sz val="10"/>
        <rFont val="Noto Sans CJK SC"/>
        <charset val="134"/>
      </rPr>
      <t>水温缺失时，按客观区间（年收入</t>
    </r>
    <r>
      <rPr>
        <sz val="10"/>
        <rFont val="Arial"/>
        <charset val="1"/>
      </rPr>
      <t>10%</t>
    </r>
    <r>
      <rPr>
        <sz val="10"/>
        <rFont val="Noto Sans CJK SC"/>
        <charset val="134"/>
      </rPr>
      <t>）反推首单，标注「这是按双十粗估的首单量级」。</t>
    </r>
  </si>
  <si>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 xml:space="preserve">保费水温 ＋ </t>
    </r>
    <r>
      <rPr>
        <sz val="10"/>
        <rFont val="Arial"/>
        <charset val="1"/>
      </rPr>
      <t xml:space="preserve">G06 </t>
    </r>
    <r>
      <rPr>
        <sz val="10"/>
        <rFont val="Noto Sans CJK SC"/>
        <charset val="134"/>
      </rPr>
      <t xml:space="preserve">反向试算 ＋ </t>
    </r>
    <r>
      <rPr>
        <sz val="10"/>
        <rFont val="Arial"/>
        <charset val="1"/>
      </rPr>
      <t xml:space="preserve">G01 </t>
    </r>
    <r>
      <rPr>
        <sz val="10"/>
        <rFont val="Noto Sans CJK SC"/>
        <charset val="134"/>
      </rPr>
      <t xml:space="preserve">缺口 ＋ </t>
    </r>
    <r>
      <rPr>
        <sz val="10"/>
        <rFont val="Arial"/>
        <charset val="1"/>
      </rPr>
      <t xml:space="preserve">G10/G11 </t>
    </r>
    <r>
      <rPr>
        <sz val="10"/>
        <rFont val="Noto Sans CJK SC"/>
        <charset val="134"/>
      </rPr>
      <t>否决</t>
    </r>
  </si>
  <si>
    <t>① 首单保额 ② 【显式的剩余缺口】＋ 加保伏笔（剩多少、什么条件触发、什么时候提）③ 若被规划侧否决：换主题建议。</t>
  </si>
  <si>
    <r>
      <rPr>
        <sz val="10"/>
        <rFont val="Noto Sans CJK SC"/>
        <charset val="134"/>
      </rPr>
      <t>规划侧＝有下限（撑不住主题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交不起就不能做）；策略侧＝从保费倒推。打架点：撑不住时，是硬做还是换主题？裁决：换更小的主题做透，绝不撒胡椒面。</t>
    </r>
  </si>
  <si>
    <t>原图有（补规划侧否决权）</t>
  </si>
  <si>
    <t>加保伏笔是本项的必要输出，不是可选项——它是「故意不完整」这个设计的兑现方式。</t>
  </si>
  <si>
    <t>S04</t>
  </si>
  <si>
    <t>决策人</t>
  </si>
  <si>
    <t>谁拍板——而且它改的是设计，不是话术。</t>
  </si>
  <si>
    <r>
      <rPr>
        <sz val="10"/>
        <rFont val="Noto Sans CJK SC"/>
        <charset val="134"/>
      </rPr>
      <t>【原图缺】。「我跟太太商量商量」不是异议，是【你从头就找错了人】。
识别出决策人不在场，改的是【方案本身】：把太太那部分做扎实、把讲解入口改成太太的视角，甚至直接把下次面谈约成夫妻俩一起。这是设计层面的改动，不是话术层面的应对。
【它值得从「反向压测」里单列】：因为它是压测里唯一一个会【推翻整个主题】的结论——如果真正的决策人是太太，那主题就不该是「给太太一个交代」，而应该从太太的关切出发重新锁定。
常见的决策人错配：夫妻（谁管钱）、父母子女（谁出钱、谁受益）、企业主（配偶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财务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律师）。
【在③「怎么讲解」这类请求里它必跑】：讲给谁，决定讲什么、从哪切入。</t>
    </r>
  </si>
  <si>
    <t>• 找错人：跟先生谈了两小时，方案做得漂亮，先生说「我跟太太商量商量」→ 这单大概率黄了，因为太太没参与推导，她只看到一个数字。
• 设计层应对：识别出太太是决策人 → ①方案里太太的保障做扎实（不只是搭车）②讲解入口换成「万一您先生出事，您和孩子怎么办」③下次面谈约夫妻同场。
• 推翻主题：主题原定「给太太一个交代」（先生视角），发现太太才是决策人 → 主题应改为太太视角的「我和孩子不会没着落」。</t>
  </si>
  <si>
    <t>缺了它 → 方案可能讲给了错的人，白跑一趟。但方案本身不错。</t>
  </si>
  <si>
    <t>分支输出</t>
  </si>
  <si>
    <t>客户判型可推定（如「三口之家」常见由太太管钱），但必须以提醒形式给出：「若决策人不是您面谈的这位，方案入口需要换」。</t>
  </si>
  <si>
    <t>代理人提供 ／ 客户判型推定</t>
  </si>
  <si>
    <t>决策人识别 ＋ 若不在场：设计层调整建议（哪部分做扎实、入口换谁的视角、是否约同场）＋ 是否需要重锁主题。</t>
  </si>
  <si>
    <r>
      <rPr>
        <sz val="10"/>
        <rFont val="Noto Sans CJK SC"/>
        <charset val="134"/>
      </rPr>
      <t>从「反向压测」里拆出来的独立项，理由：它是唯一会反噬主题（</t>
    </r>
    <r>
      <rPr>
        <sz val="10"/>
        <rFont val="Arial"/>
        <charset val="1"/>
      </rPr>
      <t>S01</t>
    </r>
    <r>
      <rPr>
        <sz val="10"/>
        <rFont val="Noto Sans CJK SC"/>
        <charset val="134"/>
      </rPr>
      <t>）的压测结论。</t>
    </r>
  </si>
  <si>
    <t>S05</t>
  </si>
  <si>
    <t>设计反向压测</t>
  </si>
  <si>
    <t>客户会在哪句话上说「不」——把异议前置到设计里。</t>
  </si>
  <si>
    <r>
      <rPr>
        <sz val="10"/>
        <rFont val="Noto Sans CJK SC"/>
        <charset val="134"/>
      </rPr>
      <t xml:space="preserve">【绩优最核心、也最说不出口的一步】。他们不是「设计完再想怎么卖」，而是【从预期的异议往回设计】。
心里预演一遍讲解：讲到哪一句，客户会皱眉？「太贵了」？「我再想想」？「我跟太太商量商量」？「保险都是骗人的」？——然后【回头改设计】，让这个异议根本形不成，或者让方案自带答案。
【这一条解释了为什么「讲解」不能简单划给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 xml:space="preserve">】：现实中，讲解的预演是【设计的输入】，不是设计的下游。
它与规划栏的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理赔核验【对称】：一个测卖不卖得掉，一个测赔不赔得到，地位相等，都是各自那一栏的出口闸。
【它是评审引擎的四大件之一】：在 ②③④⑤ 四类请求里都必跑或近乎必跑。</t>
    </r>
  </si>
  <si>
    <r>
      <rPr>
        <sz val="10"/>
        <rFont val="Noto Sans CJK SC"/>
        <charset val="134"/>
      </rPr>
      <t xml:space="preserve">• 「太贵了」→ 不是靠话术顶回去，是回头改设计：终身改定期、拉长缴期、砍掉搭车责任。
• 「我再想想」→ 通常意味着主题没打中，或推导链条断了 → 回头检查 </t>
    </r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>主题。
• 「我跟太太商量商量」→ 决策人错配（</t>
    </r>
    <r>
      <rPr>
        <sz val="10"/>
        <rFont val="Arial"/>
        <charset val="1"/>
      </rPr>
      <t>S04</t>
    </r>
    <r>
      <rPr>
        <sz val="10"/>
        <rFont val="Noto Sans CJK SC"/>
        <charset val="134"/>
      </rPr>
      <t>）→ 改设计不改话术。
• 「保险都是骗人的」→ 信任问题，方案再好也无用 → 提示代理人这单不该推进到方案阶段，应回退到理念沟通。
• 【工具的输出形态】：不是「预演一遍」，而是「这份方案最可能在哪一句上翻车 ＋ 建议怎么改设计」。</t>
    </r>
  </si>
  <si>
    <t>缺了它 → 方案是「实验室最优解」，一见客户就散架。但它本身不错。</t>
  </si>
  <si>
    <t>可默认（判型带出典型异议）</t>
  </si>
  <si>
    <t>按客户判型输出该类客户的高频异议＋对应的设计层应对。</t>
  </si>
  <si>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>主题 ＋ 客户判型 ＋ 已成形的方案</t>
    </r>
  </si>
  <si>
    <r>
      <rPr>
        <sz val="10"/>
        <rFont val="Noto Sans CJK SC"/>
        <charset val="134"/>
      </rPr>
      <t>① 最可能翻车的</t>
    </r>
    <r>
      <rPr>
        <sz val="10"/>
        <rFont val="Arial"/>
        <charset val="1"/>
      </rPr>
      <t>1-3</t>
    </r>
    <r>
      <rPr>
        <sz val="10"/>
        <rFont val="Noto Sans CJK SC"/>
        <charset val="134"/>
      </rPr>
      <t>处 ② 每一处的【设计层】改法（不是话术）③ 若异议指向信任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理念：建议回退到 </t>
    </r>
    <r>
      <rPr>
        <sz val="10"/>
        <rFont val="Arial"/>
        <charset val="1"/>
      </rPr>
      <t>stage1</t>
    </r>
    <r>
      <rPr>
        <sz val="10"/>
        <rFont val="Noto Sans CJK SC"/>
        <charset val="134"/>
      </rPr>
      <t>，不要硬推方案。</t>
    </r>
  </si>
  <si>
    <t>原图有</t>
  </si>
  <si>
    <r>
      <rPr>
        <sz val="10"/>
        <rFont val="Noto Sans CJK SC"/>
        <charset val="134"/>
      </rPr>
      <t xml:space="preserve">与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 xml:space="preserve">理赔核验并列为两栏的出口闸，建议在输出结构里对称呈现。也是 </t>
    </r>
    <r>
      <rPr>
        <sz val="10"/>
        <rFont val="Arial"/>
        <charset val="1"/>
      </rPr>
      <t xml:space="preserve">stage3/stage4 </t>
    </r>
    <r>
      <rPr>
        <sz val="10"/>
        <rFont val="Noto Sans CJK SC"/>
        <charset val="134"/>
      </rPr>
      <t xml:space="preserve">边界的争议源：压测属 </t>
    </r>
    <r>
      <rPr>
        <sz val="10"/>
        <rFont val="Arial"/>
        <charset val="1"/>
      </rPr>
      <t>stage3</t>
    </r>
    <r>
      <rPr>
        <sz val="10"/>
        <rFont val="Noto Sans CJK SC"/>
        <charset val="134"/>
      </rPr>
      <t xml:space="preserve">（设计输入），具体话术属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>。</t>
    </r>
  </si>
  <si>
    <t>S06</t>
  </si>
  <si>
    <t>版本控制</t>
  </si>
  <si>
    <t>高中低——但不是为了给选择，是为了控制框架。</t>
  </si>
  <si>
    <r>
      <rPr>
        <sz val="10"/>
        <rFont val="Noto Sans CJK SC"/>
        <charset val="134"/>
      </rPr>
      <t>绩优做多版本【不是为了让客户挑】，是为了【控制框架】：三档（基础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标准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优选），中间那档是目标；或者高开一档让客户砍。
【差异必须落在客户能理解的维度上】——保多少、保多久、花多少。
【差异一旦落在产品名上，客户就退化成比价者】，你前面所有的需求分析全白做。
【规划侧对低档版有否决权】：低配版不该是「全都有但都不够」——那种版本在理赔那天等于没买，是新人方案的翻版。低配版的正确形态是【范围收窄但主题做透】：人更少、险种更少，但留下的那部分是足额的。
【它是 ④「这两种方案哪个好」的核心判据】：两案的差异如果落在产品名上，答案不是「哪个好」，而是「你问错了问题」。</t>
    </r>
  </si>
  <si>
    <r>
      <rPr>
        <sz val="10"/>
        <rFont val="Noto Sans CJK SC"/>
        <charset val="134"/>
      </rPr>
      <t>• 好的三档（差异在可理解维度）：
  基础版：只做支柱重疾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万，定期保到</t>
    </r>
    <r>
      <rPr>
        <sz val="10"/>
        <rFont val="Arial"/>
        <charset val="1"/>
      </rPr>
      <t>70</t>
    </r>
    <r>
      <rPr>
        <sz val="10"/>
        <rFont val="Noto Sans CJK SC"/>
        <charset val="134"/>
      </rPr>
      <t>岁，年缴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千。
  标准版：支柱重疾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万＋定寿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万＋医疗，年缴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万。（目标档）
  优选版：标准版基础上重疾改终身、加太太保障，年缴</t>
    </r>
    <r>
      <rPr>
        <sz val="10"/>
        <rFont val="Arial"/>
        <charset val="1"/>
      </rPr>
      <t>1.8</t>
    </r>
    <r>
      <rPr>
        <sz val="10"/>
        <rFont val="Noto Sans CJK SC"/>
        <charset val="134"/>
      </rPr>
      <t>万。
• 坏的三档（差异在产品名）：</t>
    </r>
    <r>
      <rPr>
        <sz val="10"/>
        <rFont val="Arial"/>
        <charset val="1"/>
      </rPr>
      <t>A</t>
    </r>
    <r>
      <rPr>
        <sz val="10"/>
        <rFont val="Noto Sans CJK SC"/>
        <charset val="134"/>
      </rPr>
      <t xml:space="preserve">产品方案 </t>
    </r>
    <r>
      <rPr>
        <sz val="10"/>
        <rFont val="Arial"/>
        <charset val="1"/>
      </rPr>
      <t>/ B</t>
    </r>
    <r>
      <rPr>
        <sz val="10"/>
        <rFont val="Noto Sans CJK SC"/>
        <charset val="134"/>
      </rPr>
      <t xml:space="preserve">产品方案 </t>
    </r>
    <r>
      <rPr>
        <sz val="10"/>
        <rFont val="Arial"/>
        <charset val="1"/>
      </rPr>
      <t>/ C</t>
    </r>
    <r>
      <rPr>
        <sz val="10"/>
        <rFont val="Noto Sans CJK SC"/>
        <charset val="134"/>
      </rPr>
      <t xml:space="preserve">产品方案 → 客户开始比费率，需求分析白做。
• 低档版否决：基础版做成「全家四口每人都有一点，但都不够」→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理赔核验驳回。正确的基础版是「只保支柱，但保足」。
• ④ 场景：代理人拿两个方案来问哪个好 → 先看差异落在哪个维度。落在保额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保期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保费 → 可比；落在产品名 → 先回去锁主题。</t>
    </r>
  </si>
  <si>
    <t>缺了它 → 只给一个方案，客户没有框架感，容易直接说「我再想想」。但不至于有害。</t>
  </si>
  <si>
    <t>可默认</t>
  </si>
  <si>
    <r>
      <rPr>
        <sz val="10"/>
        <rFont val="Noto Sans CJK SC"/>
        <charset val="134"/>
      </rPr>
      <t>默认给三档，中间档为推荐档，并显式说明「差异在保多少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保多久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花多少，不在产品」。</t>
    </r>
  </si>
  <si>
    <r>
      <rPr>
        <sz val="10"/>
        <rFont val="Arial"/>
        <charset val="1"/>
      </rPr>
      <t xml:space="preserve">G04 </t>
    </r>
    <r>
      <rPr>
        <sz val="10"/>
        <rFont val="Noto Sans CJK SC"/>
        <charset val="134"/>
      </rPr>
      <t xml:space="preserve">保额分配 ＋ </t>
    </r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 xml:space="preserve">水温 ＋ </t>
    </r>
    <r>
      <rPr>
        <sz val="10"/>
        <rFont val="Arial"/>
        <charset val="1"/>
      </rPr>
      <t xml:space="preserve">S03 </t>
    </r>
    <r>
      <rPr>
        <sz val="10"/>
        <rFont val="Noto Sans CJK SC"/>
        <charset val="134"/>
      </rPr>
      <t>卖多少</t>
    </r>
  </si>
  <si>
    <r>
      <rPr>
        <sz val="10"/>
        <rFont val="Arial"/>
        <charset val="1"/>
      </rPr>
      <t xml:space="preserve">2-3 </t>
    </r>
    <r>
      <rPr>
        <sz val="10"/>
        <rFont val="Noto Sans CJK SC"/>
        <charset val="134"/>
      </rPr>
      <t>个版本 ＋ 明确标出目标档 ＋ 每档的差异维度说明 ＋ 低档版的存续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理赔自检结论。</t>
    </r>
  </si>
  <si>
    <t>规划侧＝低档版有下限（不能「全都有但都不够」）；策略侧＝高中低控框架。裁决：低档版靠【收窄范围】实现，不靠【全面降配】。</t>
  </si>
  <si>
    <t>「差异必须在可理解维度」这条是硬规则，建议写死。</t>
  </si>
  <si>
    <t>S07</t>
  </si>
  <si>
    <r>
      <rPr>
        <b/>
        <sz val="10"/>
        <rFont val="Noto Sans CJK SC"/>
        <charset val="134"/>
      </rPr>
      <t xml:space="preserve">讲什么 </t>
    </r>
    <r>
      <rPr>
        <b/>
        <sz val="10"/>
        <rFont val="Arial"/>
        <charset val="1"/>
      </rPr>
      <t xml:space="preserve">/ </t>
    </r>
    <r>
      <rPr>
        <b/>
        <sz val="10"/>
        <rFont val="Noto Sans CJK SC"/>
        <charset val="134"/>
      </rPr>
      <t>可讲性</t>
    </r>
  </si>
  <si>
    <r>
      <rPr>
        <sz val="10"/>
        <rFont val="Noto Sans CJK SC"/>
        <charset val="134"/>
      </rPr>
      <t xml:space="preserve">客户听得懂 ＋【代理人讲得出】。讲不清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卖不掉。</t>
    </r>
  </si>
  <si>
    <r>
      <rPr>
        <sz val="10"/>
        <rFont val="Noto Sans CJK SC"/>
        <charset val="134"/>
      </rPr>
      <t xml:space="preserve">【这一项里「代」这个字是本模块最重要的补充之一】。
原本只考虑「客户听不懂」，但真正的约束是【代理人自己讲不清】——方案是系统生成的，话是人说的。【一个代理人复述不出来的方案，在他嘴里会变形，而变形后的方案比原方案更危险】（他会临场编，编出来的可能是误导）。
所以【可讲性的判据是「中等水平代理人能不能复述」，不是「客户能不能听懂」】。这条判据比后者严得多。
隐形红线：这套组合能不能用【一张纸、一支笔、三分钟】讲明白。这条红线会主动砍掉很多「最优解」。
【讲的顺序】（论文式：论点—论据—论证）：目的 → 缺口 → 我做了什么取舍、为什么 → 产品。【产品最后出场，且出场时间最短】。
【禁区】：可讲性这把刀有禁区，由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理赔核验划——为了简化而砍掉豁免，直接驳回。
【它是评审引擎的四大件之一】，且在 ③「怎么讲解」里是主角。</t>
    </r>
  </si>
  <si>
    <r>
      <rPr>
        <sz val="10"/>
        <rFont val="Noto Sans CJK SC"/>
        <charset val="134"/>
      </rPr>
      <t xml:space="preserve">• 客户听不懂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代理人讲不出：一个「主险＋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附加险＋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个可选责任」的方案，客户听讲解时可能点头，但代理人自己复述时会漏掉豁免、讲错等待期 → 变形。
• 三分钟红线：能不能在一张</t>
    </r>
    <r>
      <rPr>
        <sz val="10"/>
        <rFont val="Arial"/>
        <charset val="1"/>
      </rPr>
      <t>A4</t>
    </r>
    <r>
      <rPr>
        <sz val="10"/>
        <rFont val="Noto Sans CJK SC"/>
        <charset val="134"/>
      </rPr>
      <t>纸上画出来？画不出来 → 砍。
• 讲的顺序：
  ✗「这是</t>
    </r>
    <r>
      <rPr>
        <sz val="10"/>
        <rFont val="Arial"/>
        <charset val="1"/>
      </rPr>
      <t>XX</t>
    </r>
    <r>
      <rPr>
        <sz val="10"/>
        <rFont val="Noto Sans CJK SC"/>
        <charset val="134"/>
      </rPr>
      <t>福重疾险，保</t>
    </r>
    <r>
      <rPr>
        <sz val="10"/>
        <rFont val="Arial"/>
        <charset val="1"/>
      </rPr>
      <t>180</t>
    </r>
    <r>
      <rPr>
        <sz val="10"/>
        <rFont val="Noto Sans CJK SC"/>
        <charset val="134"/>
      </rPr>
      <t>种重疾，赔付比例……」（产品开场，客户立刻进入比价模式）
  ✓「您最担心的是万一倒下家里断供（目的）→ 咱们算过缺口是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万（缺口）→ 这次预算有限，我先把最要命的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万做足，剩下的明年补（取舍）→ 用的是这个产品（产品，最后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 xml:space="preserve">秒）」
• 禁区：为了讲得简单把豁免砍了 →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驳回。</t>
    </r>
  </si>
  <si>
    <t>缺了它 → 方案「科学但卖不掉」，或更糟：代理人临场编，编出误导。后者其实已经跨到「错」了。</t>
  </si>
  <si>
    <t>必须跑（自检）</t>
  </si>
  <si>
    <t>不适用——这是对已成形方案的自检。</t>
  </si>
  <si>
    <r>
      <rPr>
        <sz val="10"/>
        <rFont val="Noto Sans CJK SC"/>
        <charset val="134"/>
      </rPr>
      <t xml:space="preserve">已成形的方案 ＋ </t>
    </r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>主题</t>
    </r>
  </si>
  <si>
    <r>
      <rPr>
        <sz val="10"/>
        <rFont val="Noto Sans CJK SC"/>
        <charset val="134"/>
      </rPr>
      <t xml:space="preserve">① 可讲性自评（中等代理人能否复述）② 若超标：简化建议（须过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禁区检查）③ 讲解骨架（论点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论据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论证的钩子——只给骨架，具体话术是 </t>
    </r>
    <r>
      <rPr>
        <sz val="10"/>
        <rFont val="Arial"/>
        <charset val="1"/>
      </rPr>
      <t xml:space="preserve">stage4 </t>
    </r>
    <r>
      <rPr>
        <sz val="10"/>
        <rFont val="Noto Sans CJK SC"/>
        <charset val="134"/>
      </rPr>
      <t>的活）。</t>
    </r>
  </si>
  <si>
    <t>原图有（「代」为你的补充）</t>
  </si>
  <si>
    <r>
      <rPr>
        <sz val="10"/>
        <rFont val="Noto Sans CJK SC"/>
        <charset val="134"/>
      </rPr>
      <t>【开放】</t>
    </r>
    <r>
      <rPr>
        <sz val="10"/>
        <rFont val="Arial"/>
        <charset val="1"/>
      </rPr>
      <t xml:space="preserve">stage3/stage4 </t>
    </r>
    <r>
      <rPr>
        <sz val="10"/>
        <rFont val="Noto Sans CJK SC"/>
        <charset val="134"/>
      </rPr>
      <t xml:space="preserve">边界：本项只产出【骨架钩子】。边界不是「讲解归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 xml:space="preserve">」，而是「讲解的【预演】归 </t>
    </r>
    <r>
      <rPr>
        <sz val="10"/>
        <rFont val="Arial"/>
        <charset val="1"/>
      </rPr>
      <t>stage3</t>
    </r>
    <r>
      <rPr>
        <sz val="10"/>
        <rFont val="Noto Sans CJK SC"/>
        <charset val="134"/>
      </rPr>
      <t xml:space="preserve">，讲解的【执行】归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>」。</t>
    </r>
  </si>
  <si>
    <t>S08</t>
  </si>
  <si>
    <t>情景对比</t>
  </si>
  <si>
    <t>对照组是「不买会怎样」，不是别家费率表。</t>
  </si>
  <si>
    <r>
      <rPr>
        <sz val="10"/>
        <rFont val="Noto Sans CJK SC"/>
        <charset val="134"/>
      </rPr>
      <t>新人一讲对比就掏友商的费率表，这是【把自己拖进比价泥潭】——一旦进入比价，你前面所有的需求分析、缺口共识、主题锁定全部失效，客户只看数字。
绩优的对照组只有两个：
① 【如果不买会怎样】：出事那天，这笔钱从哪来？卖房？借钱？动孩子的教育金？
② 【如果自己攒要攒多久】：每年存</t>
    </r>
    <r>
      <rPr>
        <sz val="10"/>
        <rFont val="Arial"/>
        <charset val="1"/>
      </rPr>
      <t>X</t>
    </r>
    <r>
      <rPr>
        <sz val="10"/>
        <rFont val="Noto Sans CJK SC"/>
        <charset val="134"/>
      </rPr>
      <t>万，攒到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 xml:space="preserve">万要多少年？这期间出事怎么办？
本质：把对比的坐标系从「产品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 xml:space="preserve">产品」搬到「有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无」。
【合规注意】：涉及利益演示时，分红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万能必须展示不确定性、不得承诺保收益、须有非保证标注。与 </t>
    </r>
    <r>
      <rPr>
        <sz val="10"/>
        <rFont val="Arial"/>
        <charset val="1"/>
      </rPr>
      <t xml:space="preserve">G12 </t>
    </r>
    <r>
      <rPr>
        <sz val="10"/>
        <rFont val="Noto Sans CJK SC"/>
        <charset val="134"/>
      </rPr>
      <t>适当性联动。
【在③「怎么讲解」里它是骨架的一部分】。</t>
    </r>
  </si>
  <si>
    <r>
      <rPr>
        <sz val="10"/>
        <rFont val="Noto Sans CJK SC"/>
        <charset val="134"/>
      </rPr>
      <t>• ✗ 比价：「我们这款比</t>
    </r>
    <r>
      <rPr>
        <sz val="10"/>
        <rFont val="Arial"/>
        <charset val="1"/>
      </rPr>
      <t>XX</t>
    </r>
    <r>
      <rPr>
        <sz val="10"/>
        <rFont val="Noto Sans CJK SC"/>
        <charset val="134"/>
      </rPr>
      <t>家便宜</t>
    </r>
    <r>
      <rPr>
        <sz val="10"/>
        <rFont val="Arial"/>
        <charset val="1"/>
      </rPr>
      <t>200</t>
    </r>
    <r>
      <rPr>
        <sz val="10"/>
        <rFont val="Noto Sans CJK SC"/>
        <charset val="134"/>
      </rPr>
      <t>块」→ 客户转头去问第三家。
• ✓ 有</t>
    </r>
    <r>
      <rPr>
        <sz val="10"/>
        <rFont val="Arial"/>
        <charset val="1"/>
      </rPr>
      <t>vs</t>
    </r>
    <r>
      <rPr>
        <sz val="10"/>
        <rFont val="Noto Sans CJK SC"/>
        <charset val="134"/>
      </rPr>
      <t>无：「万一明年真出事，这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 xml:space="preserve">万从哪来？您手上有多少能马上动的钱？剩下的是卖房还是借？」
• ✓ 攒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买：「您说自己攒——每年攒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千，攒到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万要</t>
    </r>
    <r>
      <rPr>
        <sz val="10"/>
        <rFont val="Arial"/>
        <charset val="1"/>
      </rPr>
      <t>83</t>
    </r>
    <r>
      <rPr>
        <sz val="10"/>
        <rFont val="Noto Sans CJK SC"/>
        <charset val="134"/>
      </rPr>
      <t>年。而保险是今天签完，明天就有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万。这中间的差额就是杠杆。」
• 合规：涉及分红演示时，必须说明「这是非保证利益，实际以公司经营情况为准」。</t>
    </r>
  </si>
  <si>
    <t>缺了它 → 代理人容易滑进比价，方案沦为报价单。但方案本身不错。</t>
  </si>
  <si>
    <t>按主题给出对应的「不买会怎样」情景 ＋ 「自己攒要多久」测算。</t>
  </si>
  <si>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 xml:space="preserve">主题 ＋ </t>
    </r>
    <r>
      <rPr>
        <sz val="10"/>
        <rFont val="Arial"/>
        <charset val="1"/>
      </rPr>
      <t xml:space="preserve">G01 </t>
    </r>
    <r>
      <rPr>
        <sz val="10"/>
        <rFont val="Noto Sans CJK SC"/>
        <charset val="134"/>
      </rPr>
      <t xml:space="preserve">缺口 ＋ </t>
    </r>
    <r>
      <rPr>
        <sz val="10"/>
        <rFont val="Arial"/>
        <charset val="1"/>
      </rPr>
      <t xml:space="preserve">Knowledge </t>
    </r>
    <r>
      <rPr>
        <sz val="10"/>
        <rFont val="Noto Sans CJK SC"/>
        <charset val="134"/>
      </rPr>
      <t>案例素材</t>
    </r>
  </si>
  <si>
    <t>① 「不买」情景（贴合主题的具体画面）② 「自己攒」的量化对比 ③ 若涉利益演示：合规标注。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</si>
  <si>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（对比框架）＋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（案例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理赔故事素材）</t>
    </r>
  </si>
  <si>
    <r>
      <rPr>
        <sz val="10"/>
        <rFont val="Noto Sans CJK SC"/>
        <charset val="134"/>
      </rPr>
      <t>利益演示是独立的合规子节点，不是排版任务。分红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万能的演示规则需单列进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。</t>
    </r>
  </si>
  <si>
    <t>S09</t>
  </si>
  <si>
    <t>客户参与</t>
  </si>
  <si>
    <t>留哪个旋钮让客户动手改——参与才有认领。</t>
  </si>
  <si>
    <r>
      <rPr>
        <sz val="10"/>
        <rFont val="Noto Sans CJK SC"/>
        <charset val="134"/>
      </rPr>
      <t>高手会【故意留一两个可调的旋钮】（缴费期、某个附加险、某人的保额），让客户动手改。改过的方案，客户才会当成「我的方案」而不是「你的方案」。【参与才有认领】。
这与缺口共识那一步同源：客户自己算出的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万，和你告诉他的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 xml:space="preserve">万，是两个东西。同理，客户自己调过的方案，和你递给他的方案，是两个东西。
【在工具形态里，这一项转化成一个设计输出】：不是「让客户参与」这个动作（那发生在面谈现场，工具不在场），而是【这份方案留哪个旋钮可调】——工具要显式指出：这里可以让客户动手，而这里（主体保额、豁免）不能动。
【旋钮的选择有讲究】：可调的必须是不伤筋骨的（缴期、搭车责任、次要成员的保额）；不可调的是主题主体和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划的禁区。</t>
    </r>
  </si>
  <si>
    <r>
      <rPr>
        <sz val="10"/>
        <rFont val="Noto Sans CJK SC"/>
        <charset val="134"/>
      </rPr>
      <t>• 好旋钮：「缴期您看是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年还是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年？」——怎么选都不伤方案骨架，但客户动了手。
• 好旋钮：「太太这块是先配医疗还是连重疾一起？」——次要成员，可调。
• ✗ 坏旋钮：「支柱重疾您看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万还是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万？」——这是主体，让客户调等于自毁方案。
• ✗ 坏旋钮：「豁免要不要？」——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禁区，不可调。
• 工具输出形态：「本方案建议留两个旋钮给客户：缴期（</t>
    </r>
    <r>
      <rPr>
        <sz val="10"/>
        <rFont val="Arial"/>
        <charset val="1"/>
      </rPr>
      <t>20/30</t>
    </r>
    <r>
      <rPr>
        <sz val="10"/>
        <rFont val="Noto Sans CJK SC"/>
        <charset val="134"/>
      </rPr>
      <t>年）、太太的重疾（可选）。支柱保额与豁免不建议开放调整。」</t>
    </r>
  </si>
  <si>
    <t>缺了它 → 方案是「你的」不是「他的」，成交率下降。但方案本身不错。</t>
  </si>
  <si>
    <t>默认在缴期＋次要成员责任上留旋钮。</t>
  </si>
  <si>
    <r>
      <rPr>
        <sz val="10"/>
        <rFont val="Noto Sans CJK SC"/>
        <charset val="134"/>
      </rPr>
      <t xml:space="preserve">已成形的方案 ＋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禁区</t>
    </r>
  </si>
  <si>
    <r>
      <rPr>
        <sz val="10"/>
        <rFont val="Noto Sans CJK SC"/>
        <charset val="134"/>
      </rPr>
      <t>① 建议开放的旋钮（</t>
    </r>
    <r>
      <rPr>
        <sz val="10"/>
        <rFont val="Arial"/>
        <charset val="1"/>
      </rPr>
      <t>1-2</t>
    </r>
    <r>
      <rPr>
        <sz val="10"/>
        <rFont val="Noto Sans CJK SC"/>
        <charset val="134"/>
      </rPr>
      <t>个）② 明确标出不可调项及原因。</t>
    </r>
  </si>
  <si>
    <t>原图有（转化为设计输出）</t>
  </si>
  <si>
    <t>原图的「客户参与」是个面谈动作；在工具形态里它必须转化为【设计层输出】才有意义——工具不在面谈现场。</t>
  </si>
  <si>
    <t>S10</t>
  </si>
  <si>
    <t>时机</t>
  </si>
  <si>
    <t>为什么是现在——年龄跳档、等待期、产品迭代。</t>
  </si>
  <si>
    <r>
      <rPr>
        <sz val="10"/>
        <rFont val="Noto Sans CJK SC"/>
        <charset val="134"/>
      </rPr>
      <t>【原图缺，且它在危险区】。
规划侧看，时机是【事实】：年龄跳档（生日前后费率差、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岁后重疾保费倒挂）、等待期（重疾</t>
    </r>
    <r>
      <rPr>
        <sz val="10"/>
        <rFont val="Arial"/>
        <charset val="1"/>
      </rPr>
      <t>90-180</t>
    </r>
    <r>
      <rPr>
        <sz val="10"/>
        <rFont val="Noto Sans CJK SC"/>
        <charset val="134"/>
      </rPr>
      <t>天、医疗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天）、健康窗口（体况只会越来越差，今天能标准体明天未必）。
策略侧看，时机是【紧迫性杠杆】：可以用来推动客户「现在就签」。
【危险点】：越过某条线就是【炒停售】——「这款产品下个月就下架了，最后机会」是明确的合规红线。预定利率切换、产品停售这类信息一旦被用作紧迫性来源，就从「事实陈述」变成「不当营销」。
工具的立场：只陈述客观事实（年龄跳档是精算事实、等待期是条款事实），【不生成任何以产品下架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停售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利率切换为由的紧迫性话术】。</t>
    </r>
  </si>
  <si>
    <r>
      <rPr>
        <sz val="10"/>
        <rFont val="Noto Sans CJK SC"/>
        <charset val="134"/>
      </rPr>
      <t>• ✓ 正当（事实）：「客户</t>
    </r>
    <r>
      <rPr>
        <sz val="10"/>
        <rFont val="Arial"/>
        <charset val="1"/>
      </rPr>
      <t>9</t>
    </r>
    <r>
      <rPr>
        <sz val="10"/>
        <rFont val="Noto Sans CJK SC"/>
        <charset val="134"/>
      </rPr>
      <t>月生日，投保年龄从</t>
    </r>
    <r>
      <rPr>
        <sz val="10"/>
        <rFont val="Arial"/>
        <charset val="1"/>
      </rPr>
      <t>38</t>
    </r>
    <r>
      <rPr>
        <sz val="10"/>
        <rFont val="Noto Sans CJK SC"/>
        <charset val="134"/>
      </rPr>
      <t>跳到</t>
    </r>
    <r>
      <rPr>
        <sz val="10"/>
        <rFont val="Arial"/>
        <charset val="1"/>
      </rPr>
      <t>39</t>
    </r>
    <r>
      <rPr>
        <sz val="10"/>
        <rFont val="Noto Sans CJK SC"/>
        <charset val="134"/>
      </rPr>
      <t>，同样保额年缴大约多几百块，且是终身多缴——这是精算事实，可以如实告知。」
• ✓ 正当（事实）：「重疾等待期</t>
    </r>
    <r>
      <rPr>
        <sz val="10"/>
        <rFont val="Arial"/>
        <charset val="1"/>
      </rPr>
      <t>90</t>
    </r>
    <r>
      <rPr>
        <sz val="10"/>
        <rFont val="Noto Sans CJK SC"/>
        <charset val="134"/>
      </rPr>
      <t>天，今天签，明年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月才生效。」
• ✓ 正当（事实）：「他提到打算下个月去做体检——体检出结果前投保和出结果后投保，核保结论可能完全不同。」
• ✗ 红线（炒停售）：「这款下个月停售，最后机会」「预定利率要降了，赶紧上车」→ 工具不得生成。</t>
    </r>
  </si>
  <si>
    <t>缺了它 → 方案少一个正当的推动理由。但若做错（炒停售）→ 直接跨到合规违规，比不做更糟。</t>
  </si>
  <si>
    <t>可默认（仅事实类）</t>
  </si>
  <si>
    <t>默认只输出年龄跳档＋等待期两类客观事实。产品迭代类信息默认不主动提。</t>
  </si>
  <si>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（费率表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条款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核保）</t>
    </r>
  </si>
  <si>
    <r>
      <rPr>
        <sz val="10"/>
        <rFont val="Noto Sans CJK SC"/>
        <charset val="134"/>
      </rPr>
      <t>① 客观时机事实（年龄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等待期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健康窗口）② 【禁止清单】：明确不生成炒停售类话术。</t>
    </r>
  </si>
  <si>
    <t>规划侧＝时机是事实（年龄跳档、等待期）；策略侧＝时机是紧迫性杠杆。打架点：越线即炒停售。裁决：工具只给事实，不给紧迫性包装；紧迫性由代理人自己承担。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</si>
  <si>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（红线规则）＋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（费率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条款事实）</t>
    </r>
  </si>
  <si>
    <r>
      <rPr>
        <sz val="10"/>
        <rFont val="Noto Sans CJK SC"/>
        <charset val="134"/>
      </rPr>
      <t>【开放】产品迭代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预定利率类信息的处置边界，需合规条线定。建议默认全部屏蔽。</t>
    </r>
  </si>
  <si>
    <t>G01</t>
  </si>
  <si>
    <t>起点</t>
  </si>
  <si>
    <t>缺口</t>
  </si>
  <si>
    <r>
      <rPr>
        <sz val="10"/>
        <rFont val="Noto Sans CJK SC"/>
        <charset val="134"/>
      </rPr>
      <t>从哪儿算起：这个客户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家庭还差多少保障。</t>
    </r>
  </si>
  <si>
    <r>
      <rPr>
        <sz val="10"/>
        <rFont val="Noto Sans CJK SC"/>
        <charset val="134"/>
      </rPr>
      <t xml:space="preserve">承接 </t>
    </r>
    <r>
      <rPr>
        <sz val="10"/>
        <rFont val="Arial"/>
        <charset val="1"/>
      </rPr>
      <t xml:space="preserve">stage2 </t>
    </r>
    <r>
      <rPr>
        <sz val="10"/>
        <rFont val="Noto Sans CJK SC"/>
        <charset val="134"/>
      </rPr>
      <t>保障检视的量化结果（六维：寿险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重疾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医疗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意外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养老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应急储备）。缺口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需求保额 − 已有保障（社保＋存量保单＋可变现资产）。
本模块的关键认知：缺口在这里【不是规格，是杠杆】。全流程里缺口只被用了两次——① 建立落差感（客户自己算出的数字才有效）② 留加保伏笔（这次没填完的部分，是下次见面的理由）。它一次都不直接变成订单。
若 </t>
    </r>
    <r>
      <rPr>
        <sz val="10"/>
        <rFont val="Arial"/>
        <charset val="1"/>
      </rPr>
      <t xml:space="preserve">stage2 </t>
    </r>
    <r>
      <rPr>
        <sz val="10"/>
        <rFont val="Noto Sans CJK SC"/>
        <charset val="134"/>
      </rPr>
      <t>未跑过，本项内联一次轻量测算：生命价值法（收入−个人开销的差额）、遗属需求法（假定风险当下发生，累加家人后续所需全部费用）；双十定律（保额≈年收入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倍、保费≈年收入</t>
    </r>
    <r>
      <rPr>
        <sz val="10"/>
        <rFont val="Arial"/>
        <charset val="1"/>
      </rPr>
      <t>10%</t>
    </r>
    <r>
      <rPr>
        <sz val="10"/>
        <rFont val="Noto Sans CJK SC"/>
        <charset val="134"/>
      </rPr>
      <t>）仅作粗校验，低收入家庭算不通时不采信。</t>
    </r>
  </si>
  <si>
    <r>
      <rPr>
        <sz val="10"/>
        <rFont val="Noto Sans CJK SC"/>
        <charset val="134"/>
      </rPr>
      <t>• 承接检视：客户已有重疾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万，需求</t>
    </r>
    <r>
      <rPr>
        <sz val="10"/>
        <rFont val="Arial"/>
        <charset val="1"/>
      </rPr>
      <t>110</t>
    </r>
    <r>
      <rPr>
        <sz val="10"/>
        <rFont val="Noto Sans CJK SC"/>
        <charset val="134"/>
      </rPr>
      <t>万 → 重疾缺口</t>
    </r>
    <r>
      <rPr>
        <sz val="10"/>
        <rFont val="Arial"/>
        <charset val="1"/>
      </rPr>
      <t>80</t>
    </r>
    <r>
      <rPr>
        <sz val="10"/>
        <rFont val="Noto Sans CJK SC"/>
        <charset val="134"/>
      </rPr>
      <t>万。
• 内联测算：</t>
    </r>
    <r>
      <rPr>
        <sz val="10"/>
        <rFont val="Arial"/>
        <charset val="1"/>
      </rPr>
      <t>38</t>
    </r>
    <r>
      <rPr>
        <sz val="10"/>
        <rFont val="Noto Sans CJK SC"/>
        <charset val="134"/>
      </rPr>
      <t>岁支柱、年收入</t>
    </r>
    <r>
      <rPr>
        <sz val="10"/>
        <rFont val="Arial"/>
        <charset val="1"/>
      </rPr>
      <t>60</t>
    </r>
    <r>
      <rPr>
        <sz val="10"/>
        <rFont val="Noto Sans CJK SC"/>
        <charset val="134"/>
      </rPr>
      <t>万、房贷剩</t>
    </r>
    <r>
      <rPr>
        <sz val="10"/>
        <rFont val="Arial"/>
        <charset val="1"/>
      </rPr>
      <t>280</t>
    </r>
    <r>
      <rPr>
        <sz val="10"/>
        <rFont val="Noto Sans CJK SC"/>
        <charset val="134"/>
      </rPr>
      <t>万、孩子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岁 → 遗属需求法推寿险缺口约</t>
    </r>
    <r>
      <rPr>
        <sz val="10"/>
        <rFont val="Arial"/>
        <charset val="1"/>
      </rPr>
      <t>500</t>
    </r>
    <r>
      <rPr>
        <sz val="10"/>
        <rFont val="Noto Sans CJK SC"/>
        <charset val="134"/>
      </rPr>
      <t>万。
• 粗校验失灵：家庭月入</t>
    </r>
    <r>
      <rPr>
        <sz val="10"/>
        <rFont val="Arial"/>
        <charset val="1"/>
      </rPr>
      <t>5000</t>
    </r>
    <r>
      <rPr>
        <sz val="10"/>
        <rFont val="Noto Sans CJK SC"/>
        <charset val="134"/>
      </rPr>
      <t>元，双十算出保额</t>
    </r>
    <r>
      <rPr>
        <sz val="10"/>
        <rFont val="Arial"/>
        <charset val="1"/>
      </rPr>
      <t>60</t>
    </r>
    <r>
      <rPr>
        <sz val="10"/>
        <rFont val="Noto Sans CJK SC"/>
        <charset val="134"/>
      </rPr>
      <t>万、保费</t>
    </r>
    <r>
      <rPr>
        <sz val="10"/>
        <rFont val="Arial"/>
        <charset val="1"/>
      </rPr>
      <t>6000</t>
    </r>
    <r>
      <rPr>
        <sz val="10"/>
        <rFont val="Noto Sans CJK SC"/>
        <charset val="134"/>
      </rPr>
      <t>元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年——该家庭省吃俭用后月余</t>
    </r>
    <r>
      <rPr>
        <sz val="10"/>
        <rFont val="Arial"/>
        <charset val="1"/>
      </rPr>
      <t>500</t>
    </r>
    <r>
      <rPr>
        <sz val="10"/>
        <rFont val="Noto Sans CJK SC"/>
        <charset val="134"/>
      </rPr>
      <t>元，此结果不可采信。</t>
    </r>
  </si>
  <si>
    <t>缺口错 → 后面全部动作（分配、卖多少、版本）的地基都错。且缺口是唯一能建立落差感的东西，缺了它方案退化成报价单。</t>
  </si>
  <si>
    <r>
      <rPr>
        <sz val="10"/>
        <rFont val="Noto Sans CJK SC"/>
        <charset val="134"/>
      </rPr>
      <t xml:space="preserve">必须问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调检视</t>
    </r>
  </si>
  <si>
    <t>不得凭年龄性别硬猜。可接受的最低输入：年龄＋年收入＋家庭结构＋负债，据此给带假设标注的粗量级。</t>
  </si>
  <si>
    <r>
      <rPr>
        <sz val="10"/>
        <rFont val="Arial"/>
        <charset val="1"/>
      </rPr>
      <t xml:space="preserve">stage2 </t>
    </r>
    <r>
      <rPr>
        <sz val="10"/>
        <rFont val="Noto Sans CJK SC"/>
        <charset val="134"/>
      </rPr>
      <t>检视模块（首选）／代理人提供／内联测算</t>
    </r>
  </si>
  <si>
    <t>六维缺口数值 ＋ 口径说明 ＋（若内联）测算方法与假设标注。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</si>
  <si>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（测算方法）＋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（参数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生命表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费用基准）</t>
    </r>
  </si>
  <si>
    <t>内联测算与检视模块必须共用同一套诊断内核参数，禁止本模块重造一套口径——否则同一客户两处数字不一致。</t>
  </si>
  <si>
    <t>G02</t>
  </si>
  <si>
    <t>存量处置</t>
  </si>
  <si>
    <t>老客户加保时：补差额、替换、还是不动？</t>
  </si>
  <si>
    <t>整个模块默认「白纸建仓」是错的。绩优很大一块工作是老客户检视后加保，此时方案不是「配置」而是「补缺口＋少量替换」，规则完全不同。
三条硬规则：
① 默认不退保重买——既伤客户（损失现金价值＋重新计算等待期＋年龄涨价＋健康告知重来），也踩合规（销售误导高风险区）。
② 是否替换要算已缴保费的沉没成本，不能只比新旧产品的费率优劣。
③ 存量的保障与新方案可能重叠，重叠即触发适当性里的「重复保险」提示。
注意：检视工具返回的是【聚合值】，拿不到单张保单明细。所以本项能判断「总量够不够」，判断不了「哪张该换」——后者必须让代理人去调保单原件。</t>
  </si>
  <si>
    <r>
      <rPr>
        <sz val="10"/>
        <rFont val="Noto Sans CJK SC"/>
        <charset val="134"/>
      </rPr>
      <t>• 补差额：客户已有重疾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万（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年前买的，费率便宜、有轻症责任），缺口</t>
    </r>
    <r>
      <rPr>
        <sz val="10"/>
        <rFont val="Arial"/>
        <charset val="1"/>
      </rPr>
      <t>80</t>
    </r>
    <r>
      <rPr>
        <sz val="10"/>
        <rFont val="Noto Sans CJK SC"/>
        <charset val="134"/>
      </rPr>
      <t>万 → 新增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万，老单一个字不动。
• 慎替换：客户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年前买的重疾，已缴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年保费</t>
    </r>
    <r>
      <rPr>
        <sz val="10"/>
        <rFont val="Arial"/>
        <charset val="1"/>
      </rPr>
      <t>15</t>
    </r>
    <r>
      <rPr>
        <sz val="10"/>
        <rFont val="Noto Sans CJK SC"/>
        <charset val="134"/>
      </rPr>
      <t>万，现金价值仅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万 → 退保重买等于扔掉</t>
    </r>
    <r>
      <rPr>
        <sz val="10"/>
        <rFont val="Arial"/>
        <charset val="1"/>
      </rPr>
      <t>9</t>
    </r>
    <r>
      <rPr>
        <sz val="10"/>
        <rFont val="Noto Sans CJK SC"/>
        <charset val="134"/>
      </rPr>
      <t>万，除非老单有硬伤，否则不动。
• 拿不到明细：工具只返回「重疾合计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万」，但这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万是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张还是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张、含不含轻症、保到</t>
    </r>
    <r>
      <rPr>
        <sz val="10"/>
        <rFont val="Arial"/>
        <charset val="1"/>
      </rPr>
      <t>70</t>
    </r>
    <r>
      <rPr>
        <sz val="10"/>
        <rFont val="Noto Sans CJK SC"/>
        <charset val="134"/>
      </rPr>
      <t>岁还是终身——这些必须让代理人翻保单。</t>
    </r>
  </si>
  <si>
    <t>把存量当零 → 重复投保、超额投保（触发适当性「应当建议终止」）；或误建议退保重买 → 客户实打实的财产损失＋公司合规风险。</t>
  </si>
  <si>
    <t>必须问</t>
  </si>
  <si>
    <t>不许默认为零。代理人若答「不清楚」，直接进待补清单，并给出「怎么让客户翻出保单不显得麻烦」的话术提示。</t>
  </si>
  <si>
    <r>
      <rPr>
        <sz val="10"/>
        <rFont val="Arial"/>
        <charset val="1"/>
      </rPr>
      <t xml:space="preserve">stage2 </t>
    </r>
    <r>
      <rPr>
        <sz val="10"/>
        <rFont val="Noto Sans CJK SC"/>
        <charset val="134"/>
      </rPr>
      <t>检视工具（聚合值）＋ 代理人提供保单明细</t>
    </r>
  </si>
  <si>
    <r>
      <rPr>
        <sz val="10"/>
        <rFont val="Arial"/>
        <charset val="1"/>
      </rPr>
      <t xml:space="preserve">track </t>
    </r>
    <r>
      <rPr>
        <sz val="10"/>
        <rFont val="Noto Sans CJK SC"/>
        <charset val="134"/>
      </rPr>
      <t xml:space="preserve">判定（建仓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增量补缺）＋ 每一项存量的处置建议（补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换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不动）＋ 替换建议须附沉没成本测算。</t>
    </r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</si>
  <si>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（替换判定规则）＋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（现金价值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等待期规则）</t>
    </r>
  </si>
  <si>
    <r>
      <rPr>
        <sz val="10"/>
        <rFont val="Noto Sans CJK SC"/>
        <charset val="134"/>
      </rPr>
      <t xml:space="preserve">【开放】替换判定的规则边界尚未定：什么情况下建议替换、什么情况下只补差额、什么情况下明确不动。需要单独一张 </t>
    </r>
    <r>
      <rPr>
        <sz val="10"/>
        <rFont val="Arial"/>
        <charset val="1"/>
      </rPr>
      <t xml:space="preserve">if-then </t>
    </r>
    <r>
      <rPr>
        <sz val="10"/>
        <rFont val="Noto Sans CJK SC"/>
        <charset val="134"/>
      </rPr>
      <t>表。</t>
    </r>
  </si>
  <si>
    <t>G03</t>
  </si>
  <si>
    <t>可投性（核保）</t>
  </si>
  <si>
    <t>这个方案，客户到底买不买得到？</t>
  </si>
  <si>
    <r>
      <rPr>
        <sz val="10"/>
        <rFont val="Noto Sans CJK SC"/>
        <charset val="134"/>
      </rPr>
      <t>体况、职业类别、年龄上限、财务核保（大额需财务问卷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收入证明）。
这是新人翻车最集中的地方，也是最贵的错误：【设计一个客户根本买不到的方案】——花两周做的建议书，核保一句「延期」全部归零，且客户对你的专业性打上巨大问号。
绩优在面谈里就把体况摸了七八分（「最近体检怎么样」「血压高不高」「单位有没有安排体检」），要么走预核保，要么设计时就带备选。
【本项原来只有输入没有产物，这是最容易漏的一点】：摸出体况有问题，输出不是「知道了」，而是【带备选设计】——重疾大概率延期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加费，就把医疗险的分量往前放、或改用防癌险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惠民保过渡。</t>
    </r>
  </si>
  <si>
    <r>
      <rPr>
        <sz val="10"/>
        <rFont val="Noto Sans CJK SC"/>
        <charset val="134"/>
      </rPr>
      <t>• 体况：客户提到「甲状腺结节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>类」→ 重疾大概率除外责任或延期 → 方案里重疾降权，医疗＋防癌险前置，并提示走预核保。
• 职业：客户是货车司机（高危职业类别）→ 意外险费率跳档甚至拒保，需换险种或换公司。
• 财务核保：年收入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万的客户要投</t>
    </r>
    <r>
      <rPr>
        <sz val="10"/>
        <rFont val="Arial"/>
        <charset val="1"/>
      </rPr>
      <t>1000</t>
    </r>
    <r>
      <rPr>
        <sz val="10"/>
        <rFont val="Noto Sans CJK SC"/>
        <charset val="134"/>
      </rPr>
      <t>万寿险 → 保额与收入不匹配，财务核保过不去。
• 年龄：</t>
    </r>
    <r>
      <rPr>
        <sz val="10"/>
        <rFont val="Arial"/>
        <charset val="1"/>
      </rPr>
      <t>55</t>
    </r>
    <r>
      <rPr>
        <sz val="10"/>
        <rFont val="Noto Sans CJK SC"/>
        <charset val="134"/>
      </rPr>
      <t>岁投重疾，保费倒挂（总保费＞保额）→ 该建议的不是重疾。</t>
    </r>
  </si>
  <si>
    <t>最贵的一类错：方案作废、时间归零、专业形象受损。且核保结论出来前的一切保额分配都是空中楼阁。</t>
  </si>
  <si>
    <t>不许默认为标准体。若代理人答不上来 → 进待补清单，并明确告知「这一项没有前，我给的方案只在标准体假设下成立」。</t>
  </si>
  <si>
    <t>代理人提供（面谈中摸到的）／预核保结论</t>
  </si>
  <si>
    <r>
      <rPr>
        <sz val="10"/>
        <rFont val="Noto Sans CJK SC"/>
        <charset val="134"/>
      </rPr>
      <t>① 可投性判定（标准体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加费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除外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延期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拒保 风险等级）② 【备选设计】：受影响险种的替代路径 ③ 是否需要走预核保的建议。</t>
    </r>
  </si>
  <si>
    <t>补产物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</si>
  <si>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（备选设计规则）＋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（核保规则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职业类别表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健康告知）</t>
    </r>
  </si>
  <si>
    <r>
      <rPr>
        <sz val="10"/>
        <rFont val="Noto Sans CJK SC"/>
        <charset val="134"/>
      </rPr>
      <t xml:space="preserve">核保规则属高频变动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，必须可更新，不能固化进模型。</t>
    </r>
  </si>
  <si>
    <t>G04</t>
  </si>
  <si>
    <t>配多少</t>
  </si>
  <si>
    <t>保额分配</t>
  </si>
  <si>
    <t>谁先保、保什么、保多久——预算装不下所有缺口时砍谁。</t>
  </si>
  <si>
    <r>
      <rPr>
        <sz val="10"/>
        <rFont val="Noto Sans CJK SC"/>
        <charset val="134"/>
      </rPr>
      <t>预算够花时本项不触发；只有预算装不下所有缺口、被迫做选择时才启动。这里是「五先」真正登场的地方，而且它不是理念口号，是【冲突裁决器】。
两个杠杆，且【交叉使用】：
■ 杠杆</t>
    </r>
    <r>
      <rPr>
        <sz val="10"/>
        <rFont val="Arial"/>
        <charset val="1"/>
      </rPr>
      <t>A·</t>
    </r>
    <r>
      <rPr>
        <sz val="10"/>
        <rFont val="Noto Sans CJK SC"/>
        <charset val="134"/>
      </rPr>
      <t>砍范围（跨人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跨险种）：先规划后产品、先大人后小孩（砍人）、先保障后理财（砍类别）、先保额后保费、先人身后财产（砍标的）。
■ 杠杆</t>
    </r>
    <r>
      <rPr>
        <sz val="10"/>
        <rFont val="Arial"/>
        <charset val="1"/>
      </rPr>
      <t>B·</t>
    </r>
    <r>
      <rPr>
        <sz val="10"/>
        <rFont val="Noto Sans CJK SC"/>
        <charset val="134"/>
      </rPr>
      <t xml:space="preserve">降配置（同一保障做便宜）：终身→定期、返还型→消费型、高端医疗→互联网线上。核心不变量【保额不动，动期限和形态】。
【交叉裁决顺序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绩优手感所在】：</t>
    </r>
    <r>
      <rPr>
        <sz val="10"/>
        <rFont val="Arial"/>
        <charset val="1"/>
      </rPr>
      <t xml:space="preserve">A </t>
    </r>
    <r>
      <rPr>
        <sz val="10"/>
        <rFont val="Noto Sans CJK SC"/>
        <charset val="134"/>
      </rPr>
      <t xml:space="preserve">与 </t>
    </r>
    <r>
      <rPr>
        <sz val="10"/>
        <rFont val="Arial"/>
        <charset val="1"/>
      </rPr>
      <t xml:space="preserve">B </t>
    </r>
    <r>
      <rPr>
        <sz val="10"/>
        <rFont val="Noto Sans CJK SC"/>
        <charset val="134"/>
      </rPr>
      <t xml:space="preserve">不是先后关系。「先大人后小孩」的真实含义是——大人必须【先被足额保住】（必要时用 </t>
    </r>
    <r>
      <rPr>
        <sz val="10"/>
        <rFont val="Arial"/>
        <charset val="1"/>
      </rPr>
      <t xml:space="preserve">B </t>
    </r>
    <r>
      <rPr>
        <sz val="10"/>
        <rFont val="Noto Sans CJK SC"/>
        <charset val="134"/>
      </rPr>
      <t>降配压成定期），才轮得到给小孩分预算；不是「大人小孩都配上、然后一起降配」。
正确链路：大人足额（必要时降配）→ 有余量才给次支柱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小孩 → 保障型全配齐 → 再有余量才碰理财。
若不写死这条，工具会平均地降配所有人，输出一个「人人都不够」的方案——这种方案在理赔那天等于没买。
【排序依据是 </t>
    </r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>主题，不是缺口绝对值】。</t>
    </r>
  </si>
  <si>
    <r>
      <rPr>
        <sz val="10"/>
        <rFont val="Noto Sans CJK SC"/>
        <charset val="134"/>
      </rPr>
      <t>• 反例（新人做法）：预算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万，全家四口每人都配一点，支柱重疾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万、太太</t>
    </r>
    <r>
      <rPr>
        <sz val="10"/>
        <rFont val="Arial"/>
        <charset val="1"/>
      </rPr>
      <t>15</t>
    </r>
    <r>
      <rPr>
        <sz val="10"/>
        <rFont val="Noto Sans CJK SC"/>
        <charset val="134"/>
      </rPr>
      <t>万、孩子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万、老人</t>
    </r>
    <r>
      <rPr>
        <sz val="10"/>
        <rFont val="Arial"/>
        <charset val="1"/>
      </rPr>
      <t>5</t>
    </r>
    <r>
      <rPr>
        <sz val="10"/>
        <rFont val="Noto Sans CJK SC"/>
        <charset val="134"/>
      </rPr>
      <t>万 → 支柱真出事，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万不够治病更不够还房贷，等于没买。
• 正例（绩优做法）：预算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万，先把支柱重疾压到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万（用定期而非终身、消费型而非返还型），支柱足额后若还剩</t>
    </r>
    <r>
      <rPr>
        <sz val="10"/>
        <rFont val="Arial"/>
        <charset val="1"/>
      </rPr>
      <t>3000</t>
    </r>
    <r>
      <rPr>
        <sz val="10"/>
        <rFont val="Noto Sans CJK SC"/>
        <charset val="134"/>
      </rPr>
      <t>元，才给太太配；孩子老人这次不动。
• 保额不动动形态：预算不够 → 把终身重疾改成保到</t>
    </r>
    <r>
      <rPr>
        <sz val="10"/>
        <rFont val="Arial"/>
        <charset val="1"/>
      </rPr>
      <t>70</t>
    </r>
    <r>
      <rPr>
        <sz val="10"/>
        <rFont val="Noto Sans CJK SC"/>
        <charset val="134"/>
      </rPr>
      <t>岁的定期重疾，保额仍是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万；而不是把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万压到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万。</t>
    </r>
  </si>
  <si>
    <t>分配错 → 方案在理赔那天失效（「人人都不够」）。这是唯一一类「纸面完全合规、理赔时才暴露」的错。</t>
  </si>
  <si>
    <t>必须问（预算＋家庭结构）</t>
  </si>
  <si>
    <r>
      <rPr>
        <sz val="10"/>
        <rFont val="Noto Sans CJK SC"/>
        <charset val="134"/>
      </rPr>
      <t xml:space="preserve">家庭结构可从客户判型带出默认；预算不可默认，见 </t>
    </r>
    <r>
      <rPr>
        <sz val="10"/>
        <rFont val="Arial"/>
        <charset val="1"/>
      </rPr>
      <t>S02</t>
    </r>
    <r>
      <rPr>
        <sz val="10"/>
        <rFont val="Noto Sans CJK SC"/>
        <charset val="134"/>
      </rPr>
      <t>。</t>
    </r>
  </si>
  <si>
    <r>
      <rPr>
        <sz val="10"/>
        <rFont val="Arial"/>
        <charset val="1"/>
      </rPr>
      <t xml:space="preserve">G01 </t>
    </r>
    <r>
      <rPr>
        <sz val="10"/>
        <rFont val="Noto Sans CJK SC"/>
        <charset val="134"/>
      </rPr>
      <t xml:space="preserve">缺口 ＋ </t>
    </r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 xml:space="preserve">保费水温 ＋ </t>
    </r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>主题 ＋ 客户判型</t>
    </r>
  </si>
  <si>
    <r>
      <rPr>
        <sz val="10"/>
        <rFont val="Noto Sans CJK SC"/>
        <charset val="134"/>
      </rPr>
      <t>按人</t>
    </r>
    <r>
      <rPr>
        <sz val="10"/>
        <rFont val="Arial"/>
        <charset val="1"/>
      </rPr>
      <t>×</t>
    </r>
    <r>
      <rPr>
        <sz val="10"/>
        <rFont val="Noto Sans CJK SC"/>
        <charset val="134"/>
      </rPr>
      <t>险种的保额分配表 ＋ 被砍项清单 ＋ 被降配项清单（两份清单要显式，它们是加保伏笔与客户知情的输入）。</t>
    </r>
  </si>
  <si>
    <t>原图有（补交叉规则）</t>
  </si>
  <si>
    <r>
      <rPr>
        <sz val="10"/>
        <rFont val="Noto Sans CJK SC"/>
        <charset val="134"/>
      </rPr>
      <t xml:space="preserve">【开放】交叉裁决规则的 </t>
    </r>
    <r>
      <rPr>
        <sz val="10"/>
        <rFont val="Arial"/>
        <charset val="1"/>
      </rPr>
      <t xml:space="preserve">Skill </t>
    </r>
    <r>
      <rPr>
        <sz val="10"/>
        <rFont val="Noto Sans CJK SC"/>
        <charset val="134"/>
      </rPr>
      <t>层表述需你确认。</t>
    </r>
  </si>
  <si>
    <t>G05</t>
  </si>
  <si>
    <t>险种组合</t>
  </si>
  <si>
    <t>用哪几个险种，把这个保额兑现出来。</t>
  </si>
  <si>
    <r>
      <rPr>
        <sz val="10"/>
        <rFont val="Noto Sans CJK SC"/>
        <charset val="134"/>
      </rPr>
      <t>从原图的「保什么」里拆出来的独立动作。「谁先保」是【给谁】，「用什么」是【选品】——两件事压在一起会让保额分配这一项过载。
同一个「重疾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 xml:space="preserve">万」可以有完全不同的兑现方式：单一终身重疾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定期重疾＋消费型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重疾＋防癌险补位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医疗险＋重疾组合。选择依据是缺口性质＋可投性＋预算＋可讲性。
【这一项被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 xml:space="preserve">可讲性直接约束】：一个由五个险种精密咬合的「最优解」，可能输给一个由两个险种组成的「笨方案」，就因为后者能用一张纸三分钟讲清。可讲性这把刀有禁区——禁区由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 xml:space="preserve">理赔核验划（比如豁免不能砍）。
【它是 ④「这两种方案哪个好」的高频差异点】：两案的差异往往就落在选品上，而这恰恰是【最不该拿来比】的维度（见 </t>
    </r>
    <r>
      <rPr>
        <sz val="10"/>
        <rFont val="Arial"/>
        <charset val="1"/>
      </rPr>
      <t>S06</t>
    </r>
    <r>
      <rPr>
        <sz val="10"/>
        <rFont val="Noto Sans CJK SC"/>
        <charset val="134"/>
      </rPr>
      <t>）。</t>
    </r>
  </si>
  <si>
    <r>
      <rPr>
        <sz val="10"/>
        <rFont val="Noto Sans CJK SC"/>
        <charset val="134"/>
      </rPr>
      <t>• 同保额不同组合：重疾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 → ①单一终身重疾（贵、简单、可讲）②定期重疾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万＋消费型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万（便宜、要多讲一层）③重疾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万＋防癌险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万（体况受限时的折中）。
• 可讲性砍刀：主险＋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个附加险的精密方案 → 代理人自己讲不清 → 砍到主险＋豁免＋医疗，</t>
    </r>
    <r>
      <rPr>
        <sz val="10"/>
        <rFont val="Arial"/>
        <charset val="1"/>
      </rPr>
      <t>3</t>
    </r>
    <r>
      <rPr>
        <sz val="10"/>
        <rFont val="Noto Sans CJK SC"/>
        <charset val="134"/>
      </rPr>
      <t xml:space="preserve">件。
• 禁区：为了「简单」把投保人豁免砍了 →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理赔核验直接否决。</t>
    </r>
  </si>
  <si>
    <t>组合错 → 保障有洞（如只买重疾不买医疗，大额医疗费无处报销）或结构冗余（保费白花）。</t>
  </si>
  <si>
    <r>
      <rPr>
        <sz val="10"/>
        <rFont val="Noto Sans CJK SC"/>
        <charset val="134"/>
      </rPr>
      <t>按客户判型调用打法里的标准组合，标注「这是</t>
    </r>
    <r>
      <rPr>
        <sz val="10"/>
        <rFont val="Arial"/>
        <charset val="1"/>
      </rPr>
      <t>XX</t>
    </r>
    <r>
      <rPr>
        <sz val="10"/>
        <rFont val="Noto Sans CJK SC"/>
        <charset val="134"/>
      </rPr>
      <t>类客户的标准组合，若客户有特殊偏好需调整」。</t>
    </r>
  </si>
  <si>
    <r>
      <rPr>
        <sz val="10"/>
        <rFont val="Arial"/>
        <charset val="1"/>
      </rPr>
      <t xml:space="preserve">G01 </t>
    </r>
    <r>
      <rPr>
        <sz val="10"/>
        <rFont val="Noto Sans CJK SC"/>
        <charset val="134"/>
      </rPr>
      <t xml:space="preserve">缺口性质 ＋ </t>
    </r>
    <r>
      <rPr>
        <sz val="10"/>
        <rFont val="Arial"/>
        <charset val="1"/>
      </rPr>
      <t xml:space="preserve">G03 </t>
    </r>
    <r>
      <rPr>
        <sz val="10"/>
        <rFont val="Noto Sans CJK SC"/>
        <charset val="134"/>
      </rPr>
      <t xml:space="preserve">可投性 ＋ </t>
    </r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 xml:space="preserve">预算 ＋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>可讲性约束</t>
    </r>
  </si>
  <si>
    <t>险种清单 ＋ 每个险种为什么在这里（对应哪个缺口）＋ 组合的可讲性自评。</t>
  </si>
  <si>
    <t>拆分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</si>
  <si>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（组合规则）＋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（产品库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责任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费率）</t>
    </r>
  </si>
  <si>
    <r>
      <rPr>
        <sz val="10"/>
        <rFont val="Noto Sans CJK SC"/>
        <charset val="134"/>
      </rPr>
      <t xml:space="preserve">产品库属高频变动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。工具绝不能靠记忆报产品名与费率。</t>
    </r>
  </si>
  <si>
    <t>G06</t>
  </si>
  <si>
    <t>保费试算（双向）</t>
  </si>
  <si>
    <t>保额↔保费的换算引擎。</t>
  </si>
  <si>
    <r>
      <rPr>
        <sz val="10"/>
        <rFont val="Noto Sans CJK SC"/>
        <charset val="134"/>
      </rPr>
      <t>必须【双向】，这是全模块最容易漏、漏了就整栏瘫痪的一项：
■ 正向：保额 → 保费。回答「配这么多要花多少钱」。
■ 反向：保费 → 保额。回答「他只肯花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万，这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 xml:space="preserve">万能买到多少」——【这是 </t>
    </r>
    <r>
      <rPr>
        <sz val="10"/>
        <rFont val="Arial"/>
        <charset val="1"/>
      </rPr>
      <t>S03</t>
    </r>
    <r>
      <rPr>
        <sz val="10"/>
        <rFont val="Noto Sans CJK SC"/>
        <charset val="134"/>
      </rPr>
      <t>「卖多少」的引擎】，没有它，策略栏那一整套倒推全跑不起来。
性质提示：这大概率是【外部工具依赖】，和检视模块那个黑箱工具同性质。费率不能靠模型记忆，只能调。若无外部接口，工具只能给「量级估算」并显式标注为估算，绝不能报精确保费。</t>
    </r>
  </si>
  <si>
    <r>
      <rPr>
        <sz val="10"/>
        <rFont val="Noto Sans CJK SC"/>
        <charset val="134"/>
      </rPr>
      <t>• 正向：</t>
    </r>
    <r>
      <rPr>
        <sz val="10"/>
        <rFont val="Arial"/>
        <charset val="1"/>
      </rPr>
      <t>38</t>
    </r>
    <r>
      <rPr>
        <sz val="10"/>
        <rFont val="Noto Sans CJK SC"/>
        <charset val="134"/>
      </rPr>
      <t>岁男，重疾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万，保至</t>
    </r>
    <r>
      <rPr>
        <sz val="10"/>
        <rFont val="Arial"/>
        <charset val="1"/>
      </rPr>
      <t>70</t>
    </r>
    <r>
      <rPr>
        <sz val="10"/>
        <rFont val="Noto Sans CJK SC"/>
        <charset val="134"/>
      </rPr>
      <t>岁，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年缴 → 年缴约</t>
    </r>
    <r>
      <rPr>
        <sz val="10"/>
        <rFont val="Arial"/>
        <charset val="1"/>
      </rPr>
      <t>X</t>
    </r>
    <r>
      <rPr>
        <sz val="10"/>
        <rFont val="Noto Sans CJK SC"/>
        <charset val="134"/>
      </rPr>
      <t>元。
• 反向：预算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年，</t>
    </r>
    <r>
      <rPr>
        <sz val="10"/>
        <rFont val="Arial"/>
        <charset val="1"/>
      </rPr>
      <t>38</t>
    </r>
    <r>
      <rPr>
        <sz val="10"/>
        <rFont val="Noto Sans CJK SC"/>
        <charset val="134"/>
      </rPr>
      <t>岁男，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年缴 → 重疾能买到约</t>
    </r>
    <r>
      <rPr>
        <sz val="10"/>
        <rFont val="Arial"/>
        <charset val="1"/>
      </rPr>
      <t>XX</t>
    </r>
    <r>
      <rPr>
        <sz val="10"/>
        <rFont val="Noto Sans CJK SC"/>
        <charset val="134"/>
      </rPr>
      <t>万；若改保终身，只能买到约</t>
    </r>
    <r>
      <rPr>
        <sz val="10"/>
        <rFont val="Arial"/>
        <charset val="1"/>
      </rPr>
      <t>XX</t>
    </r>
    <r>
      <rPr>
        <sz val="10"/>
        <rFont val="Noto Sans CJK SC"/>
        <charset val="134"/>
      </rPr>
      <t>万 → 这个差额就是「终身改定期」这条降配杠杆的量化依据。
• 无接口时：「按行业常见费率量级估算，年缴约</t>
    </r>
    <r>
      <rPr>
        <sz val="10"/>
        <rFont val="Arial"/>
        <charset val="1"/>
      </rPr>
      <t>0.9-1.2</t>
    </r>
    <r>
      <rPr>
        <sz val="10"/>
        <rFont val="Noto Sans CJK SC"/>
        <charset val="134"/>
      </rPr>
      <t>万，实际以系统报价为准」——绝不报「年缴</t>
    </r>
    <r>
      <rPr>
        <sz val="10"/>
        <rFont val="Arial"/>
        <charset val="1"/>
      </rPr>
      <t>10,860</t>
    </r>
    <r>
      <rPr>
        <sz val="10"/>
        <rFont val="Noto Sans CJK SC"/>
        <charset val="134"/>
      </rPr>
      <t>元」这种假精确。</t>
    </r>
  </si>
  <si>
    <t>报错保费 → 代理人拿去跟客户讲，回头系统报价对不上，专业形象崩塌。「假精确」比「不给」更危险。</t>
  </si>
  <si>
    <t>必须调工具</t>
  </si>
  <si>
    <t>无接口时给量级区间＋显式估算标注。</t>
  </si>
  <si>
    <r>
      <rPr>
        <sz val="10"/>
        <rFont val="Noto Sans CJK SC"/>
        <charset val="134"/>
      </rPr>
      <t>外部费率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报价工具（首选）／量级估算（降级）</t>
    </r>
  </si>
  <si>
    <r>
      <rPr>
        <sz val="10"/>
        <rFont val="Noto Sans CJK SC"/>
        <charset val="134"/>
      </rPr>
      <t xml:space="preserve">正向保费 ／ 反向保额 ＋ 精度标注（精确报价 </t>
    </r>
    <r>
      <rPr>
        <sz val="10"/>
        <rFont val="Arial"/>
        <charset val="1"/>
      </rPr>
      <t xml:space="preserve">or </t>
    </r>
    <r>
      <rPr>
        <sz val="10"/>
        <rFont val="Noto Sans CJK SC"/>
        <charset val="134"/>
      </rPr>
      <t>量级估算）。</t>
    </r>
  </si>
  <si>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（费率）＋ 工具依赖</t>
    </r>
  </si>
  <si>
    <r>
      <rPr>
        <sz val="10"/>
        <rFont val="Noto Sans CJK SC"/>
        <charset val="134"/>
      </rPr>
      <t xml:space="preserve">【开放】是否有可调的报价接口？没有的话 </t>
    </r>
    <r>
      <rPr>
        <sz val="10"/>
        <rFont val="Arial"/>
        <charset val="1"/>
      </rPr>
      <t xml:space="preserve">S03 </t>
    </r>
    <r>
      <rPr>
        <sz val="10"/>
        <rFont val="Noto Sans CJK SC"/>
        <charset val="134"/>
      </rPr>
      <t>精度整体下降一档，需在假设账本里体现。</t>
    </r>
  </si>
  <si>
    <t>G07</t>
  </si>
  <si>
    <t>怎么装</t>
  </si>
  <si>
    <t>结构设计</t>
  </si>
  <si>
    <t>投保人、被保险人、受益人、豁免、缴期、保期——保额确定之后，怎么装进合同里。</t>
  </si>
  <si>
    <r>
      <rPr>
        <sz val="10"/>
        <rFont val="Noto Sans CJK SC"/>
        <charset val="134"/>
      </rPr>
      <t>中产家庭这一步比想象中重要，不是走个流程。
■ 投保人：涉及现金价值归属、婚姻风险、豁免能否生效。
■ 受益人：必须指定【具体姓名】，而非「配偶」「子女」这类身份称谓——离婚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再婚后身份称谓会产生争议。需明确顺序与份额比例。
■ 豁免：投保人豁免是「保单能不能活到理赔那天」的关键（见 </t>
    </r>
    <r>
      <rPr>
        <sz val="10"/>
        <rFont val="Arial"/>
        <charset val="1"/>
      </rPr>
      <t>G11</t>
    </r>
    <r>
      <rPr>
        <sz val="10"/>
        <rFont val="Noto Sans CJK SC"/>
        <charset val="134"/>
      </rPr>
      <t>）。
■ 缴期：不是「总保费最优」，而是按客户的【现金流曲线】选——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>岁企业主和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岁工程师，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年缴的意义完全不同。
■ 保期：与保额分配里的「保多久」是同一变量的两个身份——那里是【取舍杠杆】（终身→定期用来腾预算），这里是【最终参数】。
【它是评审类请求的高频命中点】：一份方案的硬伤，多半藏在这里。</t>
    </r>
  </si>
  <si>
    <r>
      <rPr>
        <sz val="10"/>
        <rFont val="Noto Sans CJK SC"/>
        <charset val="134"/>
      </rPr>
      <t>• 受益人写法：写「配偶」→ 离婚再婚后争议；写「张</t>
    </r>
    <r>
      <rPr>
        <sz val="10"/>
        <rFont val="Arial"/>
        <charset val="1"/>
      </rPr>
      <t>××</t>
    </r>
    <r>
      <rPr>
        <sz val="10"/>
        <rFont val="Noto Sans CJK SC"/>
        <charset val="134"/>
      </rPr>
      <t>，第一顺位，</t>
    </r>
    <r>
      <rPr>
        <sz val="10"/>
        <rFont val="Arial"/>
        <charset val="1"/>
      </rPr>
      <t>100%</t>
    </r>
    <r>
      <rPr>
        <sz val="10"/>
        <rFont val="Noto Sans CJK SC"/>
        <charset val="134"/>
      </rPr>
      <t>」→ 无争议。
• 豁免生效：太太做投保人给先生投保，先生是家庭唯一收入来源 → 先生出事，太太交不起保费，而豁免保的是投保人（太太）→ 豁免形同虚设。应改由先生自己做投保人。
• 缴期按现金流：</t>
    </r>
    <r>
      <rPr>
        <sz val="10"/>
        <rFont val="Arial"/>
        <charset val="1"/>
      </rPr>
      <t>45</t>
    </r>
    <r>
      <rPr>
        <sz val="10"/>
        <rFont val="Noto Sans CJK SC"/>
        <charset val="134"/>
      </rPr>
      <t>岁企业主现金流波动大但当下充裕 → 短缴（</t>
    </r>
    <r>
      <rPr>
        <sz val="10"/>
        <rFont val="Arial"/>
        <charset val="1"/>
      </rPr>
      <t>10</t>
    </r>
    <r>
      <rPr>
        <sz val="10"/>
        <rFont val="Noto Sans CJK SC"/>
        <charset val="134"/>
      </rPr>
      <t>年）避开退休后压力；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岁工程师收入稳定上升 → 长缴（</t>
    </r>
    <r>
      <rPr>
        <sz val="10"/>
        <rFont val="Arial"/>
        <charset val="1"/>
      </rPr>
      <t>20-30</t>
    </r>
    <r>
      <rPr>
        <sz val="10"/>
        <rFont val="Noto Sans CJK SC"/>
        <charset val="134"/>
      </rPr>
      <t>年）压低年缴、腾出预算配保额。</t>
    </r>
  </si>
  <si>
    <r>
      <rPr>
        <sz val="10"/>
        <rFont val="Noto Sans CJK SC"/>
        <charset val="134"/>
      </rPr>
      <t>结构错 → 纸面保额一分不少，理赔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传承时全部落空。且这类错在出事前完全看不出来。</t>
    </r>
  </si>
  <si>
    <r>
      <rPr>
        <sz val="10"/>
        <rFont val="Noto Sans CJK SC"/>
        <charset val="134"/>
      </rPr>
      <t>标准家庭按「本人投保、本人被保、配偶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子女为受益人（具名）」默认，并标注「若涉及婚姻风险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债务风险，结构需重设」。</t>
    </r>
  </si>
  <si>
    <t>代理人提供家庭结构 ＋ 客户判型</t>
  </si>
  <si>
    <r>
      <rPr>
        <sz val="10"/>
        <rFont val="Noto Sans CJK SC"/>
        <charset val="134"/>
      </rPr>
      <t>投被受三角配置 ＋ 豁免配置 ＋ 缴期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保期参数 ＋ 每个选择的理由。</t>
    </r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</si>
  <si>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（结构规则）＋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（保险法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受益人规则）</t>
    </r>
  </si>
  <si>
    <r>
      <rPr>
        <sz val="10"/>
        <rFont val="Noto Sans CJK SC"/>
        <charset val="134"/>
      </rPr>
      <t xml:space="preserve">「保多久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保期」在原图 ③④ 两处重复。本表分工：③的「保多久」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取舍杠杆；④的「保期」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最终参数。不合并，但标明是同一变量的两个身份。</t>
    </r>
  </si>
  <si>
    <t>G08</t>
  </si>
  <si>
    <t>权益</t>
  </si>
  <si>
    <r>
      <rPr>
        <sz val="10"/>
        <rFont val="Noto Sans CJK SC"/>
        <charset val="134"/>
      </rPr>
      <t>医疗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养老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服务类权益的配置——以及它对保费的牵引。</t>
    </r>
  </si>
  <si>
    <t>你在原图给它打了星号，这个直觉是对的：【权益是全表性质最脏的一项】。
规划侧看，它是结构参数：客户能用上什么服务（就医绿通、养老社区资格、体检、护理）。
策略侧看，它是【拉高保费的杠杆】：权益门槛给出一个数字，代理人可以用「再加一点就够上了」来推高保费。
危险在于：【权益是唯一一个会主动扭曲保额分配的因素】——它给出一个和客户需求完全无关的目标数字（门槛），然后整个方案往那个数字上靠。这不是设计，这是被门槛牵着走。
工具的立场必须明确：权益可以是【锦上添花的理由】，不能是【保额的决定因素】。当为够门槛而超出合理保费时，必须显式提示这是超配。</t>
  </si>
  <si>
    <r>
      <rPr>
        <sz val="10"/>
        <rFont val="Noto Sans CJK SC"/>
        <charset val="134"/>
      </rPr>
      <t>• 正当用法：客户合理保费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万，权益门槛也是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 → 顺带说明「您这个量级刚好能用上养老社区资格」，是加分项。
• 扭曲用法（危险）：客户合理保费</t>
    </r>
    <r>
      <rPr>
        <sz val="10"/>
        <rFont val="Arial"/>
        <charset val="1"/>
      </rPr>
      <t>12</t>
    </r>
    <r>
      <rPr>
        <sz val="10"/>
        <rFont val="Noto Sans CJK SC"/>
        <charset val="134"/>
      </rPr>
      <t>万，权益门槛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 → 建议「再加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万就能拿到资格」→ 超配</t>
    </r>
    <r>
      <rPr>
        <sz val="10"/>
        <rFont val="Arial"/>
        <charset val="1"/>
      </rPr>
      <t>67%</t>
    </r>
    <r>
      <rPr>
        <sz val="10"/>
        <rFont val="Noto Sans CJK SC"/>
        <charset val="134"/>
      </rPr>
      <t>，适当性上属「持续缴费能力存疑」，且这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万与客户任何缺口都无关。
• 工具应有的输出：「按缺口与水温，合理保费</t>
    </r>
    <r>
      <rPr>
        <sz val="10"/>
        <rFont val="Arial"/>
        <charset val="1"/>
      </rPr>
      <t>12</t>
    </r>
    <r>
      <rPr>
        <sz val="10"/>
        <rFont val="Noto Sans CJK SC"/>
        <charset val="134"/>
      </rPr>
      <t>万。若客户明确看重养老社区资格，需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万才够门槛——这多出的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万不对应任何缺口，属超配，请代理人自行判断是否提及，并注意缴费能力。」</t>
    </r>
  </si>
  <si>
    <t>糙→错</t>
  </si>
  <si>
    <t>不提权益 → 只是方案「糙」（少个卖点）；为权益超配 → 变成「错」（超额投保＋缴费能力风险）。这是危险区里跨度最大的一项。</t>
  </si>
  <si>
    <t>默认不主动为权益调整保额。仅在保费已自然接近门槛时提示。</t>
  </si>
  <si>
    <r>
      <rPr>
        <sz val="10"/>
        <rFont val="Arial"/>
        <charset val="1"/>
      </rPr>
      <t xml:space="preserve">Knowledge </t>
    </r>
    <r>
      <rPr>
        <sz val="10"/>
        <rFont val="Noto Sans CJK SC"/>
        <charset val="134"/>
      </rPr>
      <t xml:space="preserve">权益知识 ＋ </t>
    </r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>保费水温</t>
    </r>
  </si>
  <si>
    <r>
      <rPr>
        <sz val="10"/>
        <rFont val="Noto Sans CJK SC"/>
        <charset val="134"/>
      </rPr>
      <t xml:space="preserve">① 当前方案能用上的权益 ② 若存在门槛临界，显式给出【差多少 </t>
    </r>
    <r>
      <rPr>
        <sz val="10"/>
        <rFont val="Arial"/>
        <charset val="1"/>
      </rPr>
      <t xml:space="preserve">+ </t>
    </r>
    <r>
      <rPr>
        <sz val="10"/>
        <rFont val="Noto Sans CJK SC"/>
        <charset val="134"/>
      </rPr>
      <t>这属于超配】的双面提示。</t>
    </r>
  </si>
  <si>
    <r>
      <rPr>
        <sz val="10"/>
        <rFont val="Noto Sans CJK SC"/>
        <charset val="134"/>
      </rPr>
      <t>规划侧＝结构参数；策略侧＝拉保费杠杆。打架点：门槛卡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 xml:space="preserve">万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合理保费</t>
    </r>
    <r>
      <rPr>
        <sz val="10"/>
        <rFont val="Arial"/>
        <charset val="1"/>
      </rPr>
      <t>12</t>
    </r>
    <r>
      <rPr>
        <sz val="10"/>
        <rFont val="Noto Sans CJK SC"/>
        <charset val="134"/>
      </rPr>
      <t>万。工具默认站规划侧（不超配），但必须把策略侧的存在告诉代理人，让他自己裁决——这是假设账本的典型条目。</t>
    </r>
  </si>
  <si>
    <t>原图有（星号→单拎）</t>
  </si>
  <si>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（权益规则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门槛）＋ </t>
    </r>
    <r>
      <rPr>
        <sz val="10"/>
        <rFont val="Arial"/>
        <charset val="1"/>
      </rPr>
      <t>Skill</t>
    </r>
    <r>
      <rPr>
        <sz val="10"/>
        <rFont val="Noto Sans CJK SC"/>
        <charset val="134"/>
      </rPr>
      <t>（超配提示规则）</t>
    </r>
  </si>
  <si>
    <r>
      <rPr>
        <sz val="10"/>
        <rFont val="Noto Sans CJK SC"/>
        <charset val="134"/>
      </rPr>
      <t xml:space="preserve">权益门槛属高频变动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。</t>
    </r>
  </si>
  <si>
    <t>G09</t>
  </si>
  <si>
    <t>高客架构（法律关系）</t>
  </si>
  <si>
    <t>高客不是「配置」，是「架构」：目的 → 法律关系 → 保额 → 产品。</t>
  </si>
  <si>
    <r>
      <rPr>
        <sz val="10"/>
        <rFont val="Noto Sans CJK SC"/>
        <charset val="134"/>
      </rPr>
      <t>客户判型判出高客时，整条线换轨。高客买的不是保额，是【确定性和控制权】。输出必须包含投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被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受三角关系，否则是残缺方案。
几条硬约束（</t>
    </r>
    <r>
      <rPr>
        <sz val="10"/>
        <rFont val="Arial"/>
        <charset val="1"/>
      </rPr>
      <t>Knowledge·</t>
    </r>
    <r>
      <rPr>
        <sz val="10"/>
        <rFont val="Noto Sans CJK SC"/>
        <charset val="134"/>
      </rPr>
      <t>合规知识）：
① 大额保单的传承功能，多数【仅在投保人与被保险人为同一人时成立】。投被不一致且投保人先身故 → 保单需变更投保人，其名下财产仍按普通遗产处理，传承功能落空。
② 受益人须具名，不用身份称谓。
③ 保险金信托可解决「怎么给、给多久、给了之后怎么保护」，但设立后原保单受益人变更为信托机构，且门槛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成本需核算。
④ 债务隔离并非绝对——需谨慎表述，避免过度承诺。</t>
    </r>
  </si>
  <si>
    <t>• 结构失效：父母做投保人、子女做被保险人 → 父母先身故，保单进遗产、需变更投保人，传承落空。
• 结构有效：本人投保、本人被保、子女具名受益 → 保险金直接给付受益人，不进遗产程序。
• 信托升级：终身寿受益人指定为信托 → 可实现分期给付、婚姻风险隔离、隔代传承、条件约束。</t>
  </si>
  <si>
    <t>高客方案的错是「架构性失效」——保额一分不少，功能全废，且往往在几十年后才暴露。</t>
  </si>
  <si>
    <t>必须问（目的）</t>
  </si>
  <si>
    <r>
      <rPr>
        <sz val="10"/>
        <rFont val="Noto Sans CJK SC"/>
        <charset val="134"/>
      </rPr>
      <t>不许默认。高客的「目的」（防债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防婚变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隔代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税务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控制权）决定整个架构，不同目的架构完全不同，无法推定。</t>
    </r>
  </si>
  <si>
    <t>代理人提供（客户诉求）＋ 客户判型</t>
  </si>
  <si>
    <r>
      <rPr>
        <sz val="10"/>
        <rFont val="Noto Sans CJK SC"/>
        <charset val="134"/>
      </rPr>
      <t>目的识别 → 法律关系设计（投被受三角）→ 保额 → 产品 ＋ 是否需要对接信托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律师的判断。</t>
    </r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</si>
  <si>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（架构设计规则）＋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（保险法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继承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信托）</t>
    </r>
  </si>
  <si>
    <r>
      <rPr>
        <sz val="10"/>
        <rFont val="Noto Sans CJK SC"/>
        <charset val="134"/>
      </rPr>
      <t xml:space="preserve">【暂缓】高客架构的完整 </t>
    </r>
    <r>
      <rPr>
        <sz val="10"/>
        <rFont val="Arial"/>
        <charset val="1"/>
      </rPr>
      <t xml:space="preserve">if-then </t>
    </r>
    <r>
      <rPr>
        <sz val="10"/>
        <rFont val="Noto Sans CJK SC"/>
        <charset val="134"/>
      </rPr>
      <t>另开专题。此处法律表述风险高，</t>
    </r>
    <r>
      <rPr>
        <sz val="10"/>
        <rFont val="Arial"/>
        <charset val="1"/>
      </rPr>
      <t xml:space="preserve">Knowledge </t>
    </r>
    <r>
      <rPr>
        <sz val="10"/>
        <rFont val="Noto Sans CJK SC"/>
        <charset val="134"/>
      </rPr>
      <t>需法务过一遍。</t>
    </r>
  </si>
  <si>
    <t>G10</t>
  </si>
  <si>
    <t>终检</t>
  </si>
  <si>
    <t>理赔核验</t>
  </si>
  <si>
    <t>倒着放一遍片子：出事那天，钱怎么给、给谁、够不够、监护、投保延续。</t>
  </si>
  <si>
    <r>
      <rPr>
        <sz val="10"/>
        <rFont val="Noto Sans CJK SC"/>
        <charset val="134"/>
      </rPr>
      <t xml:space="preserve">绩优会在脑子里把片子倒着放：出事那天，这笔钱怎么到、到谁手上、够不够、及不及时。这个动作能筛掉一大批纸面漂亮的方案。
【本项在原图里挂在「结构设计」下面，建议提级】：它校验的是【整份方案】（含保额分配、含险种组合），不只是投被受。它和策略栏的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 xml:space="preserve">设计反向压测是【对称的一对】——一个测赔不赔得到，一个测卖不卖得掉，地位相等，都是各自那一栏的出口闸。
核验清单：
① 钱怎么给：一次性 </t>
    </r>
    <r>
      <rPr>
        <sz val="10"/>
        <rFont val="Arial"/>
        <charset val="1"/>
      </rPr>
      <t xml:space="preserve">or </t>
    </r>
    <r>
      <rPr>
        <sz val="10"/>
        <rFont val="Noto Sans CJK SC"/>
        <charset val="134"/>
      </rPr>
      <t xml:space="preserve">分期？给付型 </t>
    </r>
    <r>
      <rPr>
        <sz val="10"/>
        <rFont val="Arial"/>
        <charset val="1"/>
      </rPr>
      <t xml:space="preserve">or </t>
    </r>
    <r>
      <rPr>
        <sz val="10"/>
        <rFont val="Noto Sans CJK SC"/>
        <charset val="134"/>
      </rPr>
      <t>报销型？
② 给谁：受益人写法、顺位、份额。
③ 够不够：这个保额对着这个缺口，真出事时够用几年？
④ 监护：钱到未成年子女手上，监护人是谁？会不会被挪用？
⑤ 投保延续：支柱倒了，剩下的保费谁交？（豁免配了吗）
【它是评审引擎的四大件之首】——在 ②④⑤ 三类请求里都是主角。</t>
    </r>
  </si>
  <si>
    <r>
      <rPr>
        <sz val="10"/>
        <rFont val="Noto Sans CJK SC"/>
        <charset val="134"/>
      </rPr>
      <t>• 给谁出错：受益人写「配偶」→ 离婚再婚后争议。
• 监护风险：夫妻双亡，钱到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岁孩子名下 → 监护人（可能是不睦的亲戚）掌控资金。应对接信托或指定安排。
• 投保延续出错：给孩子买了一堆，支柱倒了，没配投保人豁免 → 保费交不下去，孩子的保单全部失效。
• 够不够：房贷剩</t>
    </r>
    <r>
      <rPr>
        <sz val="10"/>
        <rFont val="Arial"/>
        <charset val="1"/>
      </rPr>
      <t>280</t>
    </r>
    <r>
      <rPr>
        <sz val="10"/>
        <rFont val="Noto Sans CJK SC"/>
        <charset val="134"/>
      </rPr>
      <t>万，寿险只买了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 → 出事那天房子还是保不住。</t>
    </r>
  </si>
  <si>
    <t>这是「纸面完全合规、理赔时才暴露」的一类错，杀伤力最大且不可逆。</t>
  </si>
  <si>
    <t>必须跑（无须额外信息）</t>
  </si>
  <si>
    <t>不适用——校验动作，输入即是已成形的方案本身。</t>
  </si>
  <si>
    <r>
      <rPr>
        <sz val="10"/>
        <rFont val="Noto Sans CJK SC"/>
        <charset val="134"/>
      </rPr>
      <t xml:space="preserve">已成形的方案 ＋ </t>
    </r>
    <r>
      <rPr>
        <sz val="10"/>
        <rFont val="Arial"/>
        <charset val="1"/>
      </rPr>
      <t xml:space="preserve">G07 </t>
    </r>
    <r>
      <rPr>
        <sz val="10"/>
        <rFont val="Noto Sans CJK SC"/>
        <charset val="134"/>
      </rPr>
      <t xml:space="preserve">结构 ＋ </t>
    </r>
    <r>
      <rPr>
        <sz val="10"/>
        <rFont val="Arial"/>
        <charset val="1"/>
      </rPr>
      <t xml:space="preserve">G04 </t>
    </r>
    <r>
      <rPr>
        <sz val="10"/>
        <rFont val="Noto Sans CJK SC"/>
        <charset val="134"/>
      </rPr>
      <t>分配</t>
    </r>
  </si>
  <si>
    <r>
      <rPr>
        <sz val="10"/>
        <rFont val="Noto Sans CJK SC"/>
        <charset val="134"/>
      </rPr>
      <t xml:space="preserve">逐条核验结论 ＋ 未通过项的修改建议（且此建议对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>可讲性有【否决权】：为简化而砍掉豁免，这里直接驳回）。</t>
    </r>
  </si>
  <si>
    <t>提级</t>
  </si>
  <si>
    <r>
      <rPr>
        <sz val="10"/>
        <rFont val="Noto Sans CJK SC"/>
        <charset val="134"/>
      </rPr>
      <t xml:space="preserve">与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>构成对称的一对终检闸，建议在输出结构里并列呈现。</t>
    </r>
  </si>
  <si>
    <t>G11</t>
  </si>
  <si>
    <t>存续核验</t>
  </si>
  <si>
    <t>不出事的日子里，这张保单活不活得到理赔那天？</t>
  </si>
  <si>
    <t>【本轮新增，且它和理赔核验是对称的】：
■ 理赔核验问：出事那天，钱到不到位？
■ 存续核验问：不出事的这二十年里，这张保单还在吗？
原图的「投保延续」只是它的一半（支柱倒了谁交）。另一半是【没人倒、单纯交不动】——这才是退保的主因：
① 保费占收入比过高，收入一波动就断缴 → 退保损失现金价值，前功尽弃。
② 缴期与客户现金流曲线错配（如企业主长缴撞上退休）。
③ 豁免没配或配错对象。
④ 首年冲动投保、次年犹豫退保。
这一项与适当性里的「持续缴费能力明显不足」是同一件事的两面：那是合规义务，这是专业判断。</t>
  </si>
  <si>
    <r>
      <rPr>
        <sz val="10"/>
        <rFont val="Noto Sans CJK SC"/>
        <charset val="134"/>
      </rPr>
      <t>• 交不动：家庭年收入</t>
    </r>
    <r>
      <rPr>
        <sz val="10"/>
        <rFont val="Arial"/>
        <charset val="1"/>
      </rPr>
      <t>30</t>
    </r>
    <r>
      <rPr>
        <sz val="10"/>
        <rFont val="Noto Sans CJK SC"/>
        <charset val="134"/>
      </rPr>
      <t>万，方案年缴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万（占</t>
    </r>
    <r>
      <rPr>
        <sz val="10"/>
        <rFont val="Arial"/>
        <charset val="1"/>
      </rPr>
      <t>20%</t>
    </r>
    <r>
      <rPr>
        <sz val="10"/>
        <rFont val="Noto Sans CJK SC"/>
        <charset val="134"/>
      </rPr>
      <t>）→ 一旦降薪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失业，大概率断缴退保。双十定律的</t>
    </r>
    <r>
      <rPr>
        <sz val="10"/>
        <rFont val="Arial"/>
        <charset val="1"/>
      </rPr>
      <t>10%</t>
    </r>
    <r>
      <rPr>
        <sz val="10"/>
        <rFont val="Noto Sans CJK SC"/>
        <charset val="134"/>
      </rPr>
      <t>在这里是有意义的——它防的不是买少了，是买断了。
• 缴期错配：</t>
    </r>
    <r>
      <rPr>
        <sz val="10"/>
        <rFont val="Arial"/>
        <charset val="1"/>
      </rPr>
      <t>52</t>
    </r>
    <r>
      <rPr>
        <sz val="10"/>
        <rFont val="Noto Sans CJK SC"/>
        <charset val="134"/>
      </rPr>
      <t>岁企业主选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年缴 → 缴到</t>
    </r>
    <r>
      <rPr>
        <sz val="10"/>
        <rFont val="Arial"/>
        <charset val="1"/>
      </rPr>
      <t>72</t>
    </r>
    <r>
      <rPr>
        <sz val="10"/>
        <rFont val="Noto Sans CJK SC"/>
        <charset val="134"/>
      </rPr>
      <t>岁，退休后无现金流，后段大概率断缴。应短缴。
• 与适当性的关系：上述任一情形，适当性都要求「建议投保人终止投保」。</t>
    </r>
  </si>
  <si>
    <r>
      <rPr>
        <sz val="10"/>
        <rFont val="Noto Sans CJK SC"/>
        <charset val="134"/>
      </rPr>
      <t xml:space="preserve">退保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客户实打实的财产损失 ＋ 保障归零 ＋ 继续率指标受损 ＋ 投诉风险。这是唯一一类「成交即埋雷」的错。</t>
    </r>
  </si>
  <si>
    <t>必须跑</t>
  </si>
  <si>
    <r>
      <rPr>
        <sz val="10"/>
        <rFont val="Noto Sans CJK SC"/>
        <charset val="134"/>
      </rPr>
      <t xml:space="preserve">不适用——校验动作。但其输入 </t>
    </r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>保费水温若缺失，本项只能给通用提醒。</t>
    </r>
  </si>
  <si>
    <r>
      <rPr>
        <sz val="10"/>
        <rFont val="Noto Sans CJK SC"/>
        <charset val="134"/>
      </rPr>
      <t xml:space="preserve">已成形的方案 ＋ </t>
    </r>
    <r>
      <rPr>
        <sz val="10"/>
        <rFont val="Arial"/>
        <charset val="1"/>
      </rPr>
      <t xml:space="preserve">S02 </t>
    </r>
    <r>
      <rPr>
        <sz val="10"/>
        <rFont val="Noto Sans CJK SC"/>
        <charset val="134"/>
      </rPr>
      <t xml:space="preserve">保费水温 ＋ </t>
    </r>
    <r>
      <rPr>
        <sz val="10"/>
        <rFont val="Arial"/>
        <charset val="1"/>
      </rPr>
      <t xml:space="preserve">G07 </t>
    </r>
    <r>
      <rPr>
        <sz val="10"/>
        <rFont val="Noto Sans CJK SC"/>
        <charset val="134"/>
      </rPr>
      <t>缴期</t>
    </r>
  </si>
  <si>
    <t>存续风险评级 ＋ 高风险时的降配建议（宁可保额低一点，也要交得起二十年）。</t>
  </si>
  <si>
    <r>
      <rPr>
        <sz val="10"/>
        <rFont val="Noto Sans CJK SC"/>
        <charset val="134"/>
      </rPr>
      <t xml:space="preserve">这一项是 </t>
    </r>
    <r>
      <rPr>
        <sz val="10"/>
        <rFont val="Arial"/>
        <charset val="1"/>
      </rPr>
      <t>S03</t>
    </r>
    <r>
      <rPr>
        <sz val="10"/>
        <rFont val="Noto Sans CJK SC"/>
        <charset val="134"/>
      </rPr>
      <t>「卖多少」的规划侧否决权来源之一：不只是「主题撑不撑得住」，还有「交不交得起」。</t>
    </r>
  </si>
  <si>
    <t>G12</t>
  </si>
  <si>
    <t>适当性</t>
  </si>
  <si>
    <r>
      <rPr>
        <sz val="10"/>
        <rFont val="Noto Sans CJK SC"/>
        <charset val="134"/>
      </rPr>
      <t xml:space="preserve">合规：产品分级 </t>
    </r>
    <r>
      <rPr>
        <sz val="10"/>
        <rFont val="Arial"/>
        <charset val="1"/>
      </rPr>
      <t xml:space="preserve">× </t>
    </r>
    <r>
      <rPr>
        <sz val="10"/>
        <rFont val="Noto Sans CJK SC"/>
        <charset val="134"/>
      </rPr>
      <t xml:space="preserve">客户分层 </t>
    </r>
    <r>
      <rPr>
        <sz val="10"/>
        <rFont val="Arial"/>
        <charset val="1"/>
      </rPr>
      <t xml:space="preserve">× </t>
    </r>
    <r>
      <rPr>
        <sz val="10"/>
        <rFont val="Noto Sans CJK SC"/>
        <charset val="134"/>
      </rPr>
      <t>三类应当建议终止的情形。</t>
    </r>
  </si>
  <si>
    <r>
      <rPr>
        <sz val="10"/>
        <rFont val="Noto Sans CJK SC"/>
        <charset val="134"/>
      </rPr>
      <t xml:space="preserve">【硬约束】。《保险产品适当性管理自律规范》已于 </t>
    </r>
    <r>
      <rPr>
        <sz val="10"/>
        <rFont val="Arial"/>
        <charset val="1"/>
      </rPr>
      <t xml:space="preserve">2026-07-01 </t>
    </r>
    <r>
      <rPr>
        <sz val="10"/>
        <rFont val="Noto Sans CJK SC"/>
        <charset val="134"/>
      </rPr>
      <t>正式施行，《金融机构产品适当性管理办法》</t>
    </r>
    <r>
      <rPr>
        <sz val="10"/>
        <rFont val="Arial"/>
        <charset val="1"/>
      </rPr>
      <t xml:space="preserve">2026-02 </t>
    </r>
    <r>
      <rPr>
        <sz val="10"/>
        <rFont val="Noto Sans CJK SC"/>
        <charset val="134"/>
      </rPr>
      <t xml:space="preserve">起实施。
三位一体匹配：人身险产品按复杂程度与保单利益确定性分 </t>
    </r>
    <r>
      <rPr>
        <sz val="10"/>
        <rFont val="Arial"/>
        <charset val="1"/>
      </rPr>
      <t>P1–P5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P1</t>
    </r>
    <r>
      <rPr>
        <sz val="10"/>
        <rFont val="Noto Sans CJK SC"/>
        <charset val="134"/>
      </rPr>
      <t>为一年期及以下简单产品，</t>
    </r>
    <r>
      <rPr>
        <sz val="10"/>
        <rFont val="Arial"/>
        <charset val="1"/>
      </rPr>
      <t>P3</t>
    </r>
    <r>
      <rPr>
        <sz val="10"/>
        <rFont val="Noto Sans CJK SC"/>
        <charset val="134"/>
      </rPr>
      <t>含分红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万能，</t>
    </r>
    <r>
      <rPr>
        <sz val="10"/>
        <rFont val="Arial"/>
        <charset val="1"/>
      </rPr>
      <t>P4/P5</t>
    </r>
    <r>
      <rPr>
        <sz val="10"/>
        <rFont val="Noto Sans CJK SC"/>
        <charset val="134"/>
      </rPr>
      <t xml:space="preserve">为更高风险）；产品或投资账户风险等级分 </t>
    </r>
    <r>
      <rPr>
        <sz val="10"/>
        <rFont val="Arial"/>
        <charset val="1"/>
      </rPr>
      <t>R1–R5</t>
    </r>
    <r>
      <rPr>
        <sz val="10"/>
        <rFont val="Noto Sans CJK SC"/>
        <charset val="134"/>
      </rPr>
      <t xml:space="preserve">；客户按【财务支付水平 ＋ 风险承受能力】双评估分 </t>
    </r>
    <r>
      <rPr>
        <sz val="10"/>
        <rFont val="Arial"/>
        <charset val="1"/>
      </rPr>
      <t>C1–C5</t>
    </r>
    <r>
      <rPr>
        <sz val="10"/>
        <rFont val="Noto Sans CJK SC"/>
        <charset val="134"/>
      </rPr>
      <t>；销售人员按专业能力分级授权。
三类「应当建议投保人终止投保」的情形（本模块必须内建【不建议购买】输出路径）：
① 保险需求与所销售产品明显不符
② 持续承担保险费的能力明显不足
③ 继续投保属于重复保险或超额保险
【在本工具形态下的性质变化】：它【不是阻断】——工具挡不了交易，交易在核心系统里。它在这里是【提示 ＋ 标注】：告诉代理人「这个组合会在系统里被拦，客户坚持须签警示确认书」，让他别白跑一趟。
【它是评审引擎的四大件之一】。</t>
    </r>
  </si>
  <si>
    <r>
      <rPr>
        <sz val="10"/>
        <rFont val="Arial"/>
        <charset val="1"/>
      </rPr>
      <t xml:space="preserve">• P/C </t>
    </r>
    <r>
      <rPr>
        <sz val="10"/>
        <rFont val="Noto Sans CJK SC"/>
        <charset val="134"/>
      </rPr>
      <t xml:space="preserve">不匹配：客户 </t>
    </r>
    <r>
      <rPr>
        <sz val="10"/>
        <rFont val="Arial"/>
        <charset val="1"/>
      </rPr>
      <t>C2</t>
    </r>
    <r>
      <rPr>
        <sz val="10"/>
        <rFont val="Noto Sans CJK SC"/>
        <charset val="134"/>
      </rPr>
      <t>（风险承受能力低）想买分红险（</t>
    </r>
    <r>
      <rPr>
        <sz val="10"/>
        <rFont val="Arial"/>
        <charset val="1"/>
      </rPr>
      <t>P3</t>
    </r>
    <r>
      <rPr>
        <sz val="10"/>
        <rFont val="Noto Sans CJK SC"/>
        <charset val="134"/>
      </rPr>
      <t>）→ 系统会提示并阻断，坚持则须签警示确认书。工具应提前告知代理人。
• 超额投保：客户已有重疾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万，缺口已填满，再加</t>
    </r>
    <r>
      <rPr>
        <sz val="10"/>
        <rFont val="Arial"/>
        <charset val="1"/>
      </rPr>
      <t>50</t>
    </r>
    <r>
      <rPr>
        <sz val="10"/>
        <rFont val="Noto Sans CJK SC"/>
        <charset val="134"/>
      </rPr>
      <t>万 → 属超额，应当建议终止。
• 缴费能力：趸交保费超家庭年收入</t>
    </r>
    <r>
      <rPr>
        <sz val="10"/>
        <rFont val="Arial"/>
        <charset val="1"/>
      </rPr>
      <t>4</t>
    </r>
    <r>
      <rPr>
        <sz val="10"/>
        <rFont val="Noto Sans CJK SC"/>
        <charset val="134"/>
      </rPr>
      <t>倍、或期交超</t>
    </r>
    <r>
      <rPr>
        <sz val="10"/>
        <rFont val="Arial"/>
        <charset val="1"/>
      </rPr>
      <t>40%</t>
    </r>
    <r>
      <rPr>
        <sz val="10"/>
        <rFont val="Noto Sans CJK SC"/>
        <charset val="134"/>
      </rPr>
      <t>，需客户确认方可承保。
• 需求不符：客户唯一诉求是「报销医疗费」，方案主体却是年金 → 明显不符。</t>
    </r>
  </si>
  <si>
    <t>合规风险：销售误导、监管处罚、消保考评。且它同时是客户利益问题（超额投保＝客户白花钱）。</t>
  </si>
  <si>
    <r>
      <rPr>
        <sz val="10"/>
        <rFont val="Noto Sans CJK SC"/>
        <charset val="134"/>
      </rPr>
      <t xml:space="preserve">不适用——校验动作。但 </t>
    </r>
    <r>
      <rPr>
        <sz val="10"/>
        <rFont val="Arial"/>
        <charset val="1"/>
      </rPr>
      <t xml:space="preserve">C </t>
    </r>
    <r>
      <rPr>
        <sz val="10"/>
        <rFont val="Noto Sans CJK SC"/>
        <charset val="134"/>
      </rPr>
      <t>分层需要财务信息，缺失时只能给通用提示。</t>
    </r>
  </si>
  <si>
    <r>
      <rPr>
        <sz val="10"/>
        <rFont val="Arial"/>
        <charset val="1"/>
      </rPr>
      <t xml:space="preserve">Knowledge </t>
    </r>
    <r>
      <rPr>
        <sz val="10"/>
        <rFont val="Noto Sans CJK SC"/>
        <charset val="134"/>
      </rPr>
      <t>合规知识（</t>
    </r>
    <r>
      <rPr>
        <sz val="10"/>
        <rFont val="Arial"/>
        <charset val="1"/>
      </rPr>
      <t xml:space="preserve">P/R/C </t>
    </r>
    <r>
      <rPr>
        <sz val="10"/>
        <rFont val="Noto Sans CJK SC"/>
        <charset val="134"/>
      </rPr>
      <t>分级规则）＋ 客户财务信息</t>
    </r>
  </si>
  <si>
    <r>
      <rPr>
        <sz val="10"/>
        <rFont val="Arial"/>
        <charset val="1"/>
      </rPr>
      <t>① P</t>
    </r>
    <r>
      <rPr>
        <sz val="10"/>
        <rFont val="Noto Sans CJK SC"/>
        <charset val="134"/>
      </rPr>
      <t xml:space="preserve">级 ≤ </t>
    </r>
    <r>
      <rPr>
        <sz val="10"/>
        <rFont val="Arial"/>
        <charset val="1"/>
      </rPr>
      <t>C</t>
    </r>
    <r>
      <rPr>
        <sz val="10"/>
        <rFont val="Noto Sans CJK SC"/>
        <charset val="134"/>
      </rPr>
      <t>级 匹配结论 ② 三类终止情形扫描结果 ③ 【不建议购买】路径 ④ 会在系统里被拦的预警。</t>
    </r>
  </si>
  <si>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（分级规则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问卷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阈值）＋ </t>
    </r>
    <r>
      <rPr>
        <sz val="10"/>
        <rFont val="Arial"/>
        <charset val="1"/>
      </rPr>
      <t>Skill</t>
    </r>
    <r>
      <rPr>
        <sz val="10"/>
        <rFont val="Noto Sans CJK SC"/>
        <charset val="134"/>
      </rPr>
      <t>（提示规则）</t>
    </r>
  </si>
  <si>
    <r>
      <rPr>
        <sz val="10"/>
        <rFont val="Noto Sans CJK SC"/>
        <charset val="134"/>
      </rPr>
      <t xml:space="preserve">【重要】一个只会推荐的推荐智能体是不合规的。「不建议购买」必须是一条正式输出路径，不是免责声明。分级规则属高频变动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，各公司落地细则不同。</t>
    </r>
  </si>
  <si>
    <t>M01</t>
  </si>
  <si>
    <t>客户判型</t>
  </si>
  <si>
    <t>这是哪一类人、调哪套打法。</t>
  </si>
  <si>
    <r>
      <rPr>
        <sz val="10"/>
        <rFont val="Noto Sans CJK SC"/>
        <charset val="134"/>
      </rPr>
      <t xml:space="preserve">【信息越少，判型越是唯一的杠杆——因为类型就是默认值的来源】。判出「三口之家标准款」，一堆字段立刻有了合理默认；判不出来，就只能一个个问，而代理人经不起几轮反问。
这源于一个关键观察：【绩优其实不「设计」，他们「归类＋微调」】。一个做了十几年的绩优，手里就 </t>
    </r>
    <r>
      <rPr>
        <sz val="10"/>
        <rFont val="Arial"/>
        <charset val="1"/>
      </rPr>
      <t xml:space="preserve">3-5 </t>
    </r>
    <r>
      <rPr>
        <sz val="10"/>
        <rFont val="Noto Sans CJK SC"/>
        <charset val="134"/>
      </rPr>
      <t>套成熟打法（三口之家标准款、新婚无孩款、企业主款、高客传承款、老客加保款……），</t>
    </r>
    <r>
      <rPr>
        <sz val="10"/>
        <rFont val="Arial"/>
        <charset val="1"/>
      </rPr>
      <t xml:space="preserve">80% </t>
    </r>
    <r>
      <rPr>
        <sz val="10"/>
        <rFont val="Noto Sans CJK SC"/>
        <charset val="134"/>
      </rPr>
      <t xml:space="preserve">的客户都往这几套里套，真正的动作是【认客户类型 → 调用套路 → 局部改参数】。
【所以他们真正的能力是归类，不是计算】——五分钟内判断「这是哪一类人」。
【这对 </t>
    </r>
    <r>
      <rPr>
        <sz val="10"/>
        <rFont val="Arial"/>
        <charset val="1"/>
      </rPr>
      <t xml:space="preserve">Skill </t>
    </r>
    <r>
      <rPr>
        <sz val="10"/>
        <rFont val="Noto Sans CJK SC"/>
        <charset val="134"/>
      </rPr>
      <t>层抽取的影响是根本性的】：你要抽的可能不是一个通用推荐算法，而是【几套打法 ＋ 一个归类器】。
【工具的能力上限 ≈ 判型准确率】。</t>
    </r>
  </si>
  <si>
    <r>
      <rPr>
        <sz val="10"/>
        <rFont val="Noto Sans CJK SC"/>
        <charset val="134"/>
      </rPr>
      <t>• 判型输入极少即可：「</t>
    </r>
    <r>
      <rPr>
        <sz val="10"/>
        <rFont val="Arial"/>
        <charset val="1"/>
      </rPr>
      <t>38</t>
    </r>
    <r>
      <rPr>
        <sz val="10"/>
        <rFont val="Noto Sans CJK SC"/>
        <charset val="134"/>
      </rPr>
      <t>岁，两口子，孩子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岁，房贷</t>
    </r>
    <r>
      <rPr>
        <sz val="10"/>
        <rFont val="Arial"/>
        <charset val="1"/>
      </rPr>
      <t>280</t>
    </r>
    <r>
      <rPr>
        <sz val="10"/>
        <rFont val="Noto Sans CJK SC"/>
        <charset val="134"/>
      </rPr>
      <t>万，年入</t>
    </r>
    <r>
      <rPr>
        <sz val="10"/>
        <rFont val="Arial"/>
        <charset val="1"/>
      </rPr>
      <t>60</t>
    </r>
    <r>
      <rPr>
        <sz val="10"/>
        <rFont val="Noto Sans CJK SC"/>
        <charset val="134"/>
      </rPr>
      <t>万」→ 三口之家标准款 → 主题候选、保额分配骨架、险种组合、典型异议全部有了默认。
• 判型带出默认：判出「企业主款」→ 默认关注债务隔离、现金流波动大（缴期宜短）、决策人可能含配偶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财务。
• 判错的代价：把「高客传承」判成「三口之家标准款」→ 整条线走错轨（配置驱动 </t>
    </r>
    <r>
      <rPr>
        <sz val="10"/>
        <rFont val="Arial"/>
        <charset val="1"/>
      </rPr>
      <t xml:space="preserve">vs </t>
    </r>
    <r>
      <rPr>
        <sz val="10"/>
        <rFont val="Noto Sans CJK SC"/>
        <charset val="134"/>
      </rPr>
      <t>架构驱动），输出的方案完全不可用。
• 判不出：信息太少 → 不硬判，给</t>
    </r>
    <r>
      <rPr>
        <sz val="10"/>
        <rFont val="Arial"/>
        <charset val="1"/>
      </rPr>
      <t>2-3</t>
    </r>
    <r>
      <rPr>
        <sz val="10"/>
        <rFont val="Noto Sans CJK SC"/>
        <charset val="134"/>
      </rPr>
      <t>个型的分支，让代理人认领。</t>
    </r>
  </si>
  <si>
    <t>判型是默认值的来源。判不出 → 每个字段都得问 → 代理人被反问三轮就走人。判错 → 整条线走错轨。</t>
  </si>
  <si>
    <t>推定 ＋ 让代理人确认</t>
  </si>
  <si>
    <r>
      <rPr>
        <sz val="10"/>
        <rFont val="Noto Sans CJK SC"/>
        <charset val="134"/>
      </rPr>
      <t>从最少信息（年龄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家庭结构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收入量级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是否有存量）推定；不确定时给</t>
    </r>
    <r>
      <rPr>
        <sz val="10"/>
        <rFont val="Arial"/>
        <charset val="1"/>
      </rPr>
      <t>2-3</t>
    </r>
    <r>
      <rPr>
        <sz val="10"/>
        <rFont val="Noto Sans CJK SC"/>
        <charset val="134"/>
      </rPr>
      <t>个型的分支，不硬判。</t>
    </r>
  </si>
  <si>
    <t>代理人的开场描述</t>
  </si>
  <si>
    <t>① 判定的型 ＋ 置信度 ② 该型带出的默认值清单（进假设账本）③ 若不确定：分支。</t>
  </si>
  <si>
    <t>改名（原「判型」）</t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</si>
  <si>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 xml:space="preserve">（归类器 ＋ </t>
    </r>
    <r>
      <rPr>
        <sz val="10"/>
        <rFont val="Arial"/>
        <charset val="1"/>
      </rPr>
      <t>3-5</t>
    </r>
    <r>
      <rPr>
        <sz val="10"/>
        <rFont val="Noto Sans CJK SC"/>
        <charset val="134"/>
      </rPr>
      <t>套打法）</t>
    </r>
  </si>
  <si>
    <r>
      <rPr>
        <sz val="10"/>
        <rFont val="Noto Sans CJK SC"/>
        <charset val="134"/>
      </rPr>
      <t xml:space="preserve">【这可能是整个模块最重要的一项】。建议优先把 </t>
    </r>
    <r>
      <rPr>
        <sz val="10"/>
        <rFont val="Arial"/>
        <charset val="1"/>
      </rPr>
      <t xml:space="preserve">3-5 </t>
    </r>
    <r>
      <rPr>
        <sz val="10"/>
        <rFont val="Noto Sans CJK SC"/>
        <charset val="134"/>
      </rPr>
      <t>套打法穷举出来，比穷举通用算法更有价值。</t>
    </r>
  </si>
  <si>
    <t>M02</t>
  </si>
  <si>
    <t>客户进程</t>
  </si>
  <si>
    <t>这个客户处于哪个阶段——用来过滤建议的可执行性。</t>
  </si>
  <si>
    <r>
      <rPr>
        <sz val="10"/>
        <rFont val="Noto Sans CJK SC"/>
        <charset val="134"/>
      </rPr>
      <t xml:space="preserve">取值：还没见过面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已经面谈了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方案讲过了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已投保……
【它只干一件事】：把待补清单里【已经来不及的项】筛掉，换成补救方案。已经递送建议书了，你还提醒他「面谈时该摸体况」——纯属噪音，而且会让他觉得这工具不懂业务。
【注意它不是陪伴】：本功能不陪代理人走完面谈流程。「面谈①→回去做作业→面谈②」这条时间轴在陪伴式工具里是骨架，在本工具里只塌缩成这一个字段，用途仅限于过滤。</t>
    </r>
  </si>
  <si>
    <r>
      <rPr>
        <sz val="10"/>
        <rFont val="Noto Sans CJK SC"/>
        <charset val="134"/>
      </rPr>
      <t xml:space="preserve">• 还没见过面 → 待补清单是【面谈时该问什么】＋试温话术＋摸体况话术。
• 已经面谈了 → 待补清单是【哪些关键信息还缺，怎么补】（微信问？还是约二次面谈顺带问？）。
• 方案讲过了、客户说体况有问题 → 「面谈时摸体况」已经来不及 → 换成补救：走预核保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调整方案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换险种。
• 已投保 → 场景多半是加保或核保应对，走增量 </t>
    </r>
    <r>
      <rPr>
        <sz val="10"/>
        <rFont val="Arial"/>
        <charset val="1"/>
      </rPr>
      <t>track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G02</t>
    </r>
    <r>
      <rPr>
        <sz val="10"/>
        <rFont val="Noto Sans CJK SC"/>
        <charset val="134"/>
      </rPr>
      <t>）。</t>
    </r>
  </si>
  <si>
    <t>缺了它 → 待补清单里混入已经来不及的项，噪音，且显得不懂业务。</t>
  </si>
  <si>
    <t>默认「已经面谈了」（代理人手上有信息才会来问方案）。</t>
  </si>
  <si>
    <t>代理人提供 ／ 从提问语气推定</t>
  </si>
  <si>
    <t>过滤后的待补清单（来不及的项 → 换成补救方案）。</t>
  </si>
  <si>
    <r>
      <rPr>
        <sz val="10"/>
        <rFont val="Noto Sans CJK SC"/>
        <charset val="134"/>
      </rPr>
      <t>改名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 xml:space="preserve">重编号（原 </t>
    </r>
    <r>
      <rPr>
        <sz val="10"/>
        <rFont val="Arial"/>
        <charset val="1"/>
      </rPr>
      <t>M03</t>
    </r>
    <r>
      <rPr>
        <sz val="10"/>
        <rFont val="Noto Sans CJK SC"/>
        <charset val="134"/>
      </rPr>
      <t>「到哪一步了」）</t>
    </r>
  </si>
  <si>
    <r>
      <rPr>
        <sz val="10"/>
        <rFont val="Noto Sans CJK SC"/>
        <charset val="134"/>
      </rPr>
      <t xml:space="preserve">【开放】本项保留了「还没见过面」这个取值，但★分流器的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类请求里已删掉「面谈前我该注意什么」这一入口——两者存在张力。若确实没有面谈前的入口，这个取值就没有对应场景，需确认。</t>
    </r>
  </si>
  <si>
    <t>M03</t>
  </si>
  <si>
    <t>假设账本</t>
  </si>
  <si>
    <t>在输出本次答案时，我猜了什么、猜错了会怎样。</t>
  </si>
  <si>
    <t>【输出三件套之二】。缺信息时不能只反问代理人、而不给答案——一个只会反问的工具，代理人用两次就扔了。所以必须【先给答案，同时把猜的部分明账】。
账本的每一条必须写清两件事：
① 我假设了什么（如：按标准体算的）
② 【假设错了会怎样】（如：如果他血压有问题，重疾这块整个要重排）——这一半比前一半重要，因为它告诉代理人这条假设值不值得去核实。
【账本的来源，大头在危险区】：凡是两栏都沾的项（主题、卖多少、版本控制、权益、时机），工具在没有信息时替代理人裁决的每一次，就是账本里的一条。
形态建议：不是附录里的小字，是与答案并列的一块。</t>
  </si>
  <si>
    <r>
      <rPr>
        <sz val="10"/>
        <rFont val="Noto Sans CJK SC"/>
        <charset val="134"/>
      </rPr>
      <t>• 「按标准体计算。若客户有甲状腺结节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血压问题，重疾这块要整个重排，医疗需前置——建议投保前先做预核保。」
• 「按年收入</t>
    </r>
    <r>
      <rPr>
        <sz val="10"/>
        <rFont val="Arial"/>
        <charset val="1"/>
      </rPr>
      <t>10%</t>
    </r>
    <r>
      <rPr>
        <sz val="10"/>
        <rFont val="Noto Sans CJK SC"/>
        <charset val="134"/>
      </rPr>
      <t>粗估保费水温（约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万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年）。这不是客户说的数，是我按双十推的——他的真实水温需要您去试，话术见下。」
• 「假设存量为零。若客户有旧保单，本方案可能构成重复投保，需重新核算。」
• 「主题我按『支柱倒了家不散』推的。若客户实际更在意孩子教育，保额排序要换（教育金前置、重疾降权）。」
• 「权益：我没有为够门槛而调高保费。若您认为客户看重养老社区资格，需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万才够门槛，比合理保费高出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万——这属超配，请您自行判断。」</t>
    </r>
  </si>
  <si>
    <t>—</t>
  </si>
  <si>
    <t>它本身是输出物，不是输入字段。但缺失 → 代理人拿着一个不知道哪里是猜的答案去见客户，风险不可控。</t>
  </si>
  <si>
    <t>必须输出</t>
  </si>
  <si>
    <t>不适用。</t>
  </si>
  <si>
    <t>所有被默认处理的字段 ＋ 危险区的每一次裁决</t>
  </si>
  <si>
    <t>假设条目清单，每条含【假设内容 ＋ 假设错了的后果 ＋ 是否值得去核实】。</t>
  </si>
  <si>
    <r>
      <rPr>
        <sz val="10"/>
        <rFont val="Noto Sans CJK SC"/>
        <charset val="134"/>
      </rPr>
      <t xml:space="preserve">重编号（原 </t>
    </r>
    <r>
      <rPr>
        <sz val="10"/>
        <rFont val="Arial"/>
        <charset val="1"/>
      </rPr>
      <t>M04</t>
    </r>
    <r>
      <rPr>
        <sz val="10"/>
        <rFont val="Noto Sans CJK SC"/>
        <charset val="134"/>
      </rPr>
      <t>）</t>
    </r>
  </si>
  <si>
    <t>五类请求里它都必须输出——包括评审类（评审也是基于假设做的）。这一块是本工具「诚实」的体现。</t>
  </si>
  <si>
    <t>M04</t>
  </si>
  <si>
    <t>待补清单</t>
  </si>
  <si>
    <t>去问什么、什么时候问、怎么问不伤单。</t>
  </si>
  <si>
    <r>
      <rPr>
        <sz val="10"/>
        <rFont val="Noto Sans CJK SC"/>
        <charset val="134"/>
      </rPr>
      <t>【输出三件套之三，也是本工具真正的差异化】。
为什么它是差异化：【代理人自己不知道他不知道什么】。新人翻车最多的就是压根没意识到该问体况、该摸水温、该确认决策人。工具的价值不只是「给答案」，更是「告诉你还差什么」。
三段式，缺一不可：
① 【问什么】：字段名不够，要给具体问法。
② 【什么时候问】：有时间窗的（水温必须在缺口共识之后、离场之前）；有来不及的（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 xml:space="preserve">客户进程过滤）。
③ 【怎么问不伤单】：这一段最难也最值钱——直接问「你有没有病」会伤客户，绩优是在聊天里摸的。
【排序依据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栏位归属】：规划栏的缺项（体况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存量）排最前（缺了答案是错的）；策略栏的缺项（水温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主题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决策人）排后（缺了只是糙）。</t>
    </r>
  </si>
  <si>
    <r>
      <rPr>
        <sz val="10"/>
        <rFont val="Noto Sans CJK SC"/>
        <charset val="134"/>
      </rPr>
      <t>• 问什么＋怎么问（体况）：✗「您有什么病吗？」 ✓「您单位每年安排体检吧？上次结果都还正常？」
• 问什么＋怎么问（存量）：✗「您有几张保单？」 ✓「之前给自己安排过保障吧？方便的话把保单翻出来，我帮您看看有没有重复花钱的地方——很多人买重了自己都不知道。」
• 什么时候问（水温）：「这句必须在他自己算出缺口之后再说，不然缺口就废了；但必须在你离开之前说，不然你回去没法设计。」
• 来不及了（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过滤）：方案已讲过还没摸体况 → 不提「面谈时摸体况」，改提「现在只能走预核保了」。
• 排序：①体况（错）②存量（错）③水温（糙）④主题（糙）⑤决策人（糙）。</t>
    </r>
  </si>
  <si>
    <t>它本身是输出物。缺失 → 代理人不知道自己不知道什么，下次面谈又空手回来。</t>
  </si>
  <si>
    <r>
      <rPr>
        <sz val="10"/>
        <rFont val="Noto Sans CJK SC"/>
        <charset val="134"/>
      </rPr>
      <t xml:space="preserve">所有未获得的字段 ＋ 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客户进程（用于过滤）</t>
    </r>
  </si>
  <si>
    <r>
      <rPr>
        <sz val="10"/>
        <rFont val="Noto Sans CJK SC"/>
        <charset val="134"/>
      </rPr>
      <t xml:space="preserve">分级的待补清单：【规划栏缺项（必问，答案否则是错的）】＋【策略栏缺项（可选，答案否则只是糙）】，每项含 问什么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何时问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怎么问不伤单。</t>
    </r>
  </si>
  <si>
    <r>
      <rPr>
        <sz val="10"/>
        <rFont val="Noto Sans CJK SC"/>
        <charset val="134"/>
      </rPr>
      <t xml:space="preserve">重编号（原 </t>
    </r>
    <r>
      <rPr>
        <sz val="10"/>
        <rFont val="Arial"/>
        <charset val="1"/>
      </rPr>
      <t>M05</t>
    </r>
    <r>
      <rPr>
        <sz val="10"/>
        <rFont val="Noto Sans CJK SC"/>
        <charset val="134"/>
      </rPr>
      <t>）</t>
    </r>
  </si>
  <si>
    <r>
      <rPr>
        <sz val="10"/>
        <rFont val="Arial"/>
        <charset val="1"/>
      </rPr>
      <t>Skill</t>
    </r>
    <r>
      <rPr>
        <sz val="10"/>
        <rFont val="Noto Sans CJK SC"/>
        <charset val="134"/>
      </rPr>
      <t>（问法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时机）＋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（话术素材）</t>
    </r>
  </si>
  <si>
    <r>
      <rPr>
        <sz val="10"/>
        <rFont val="Noto Sans CJK SC"/>
        <charset val="134"/>
      </rPr>
      <t xml:space="preserve">⑤「这份方案有什么需要注意的点」这一类请求，输出重心就在本项。「怎么问不伤单」的话术属 </t>
    </r>
    <r>
      <rPr>
        <sz val="10"/>
        <rFont val="Arial"/>
        <charset val="1"/>
      </rPr>
      <t>Knowledge</t>
    </r>
    <r>
      <rPr>
        <sz val="10"/>
        <rFont val="Noto Sans CJK SC"/>
        <charset val="134"/>
      </rPr>
      <t>，需从绩优访谈里采。</t>
    </r>
  </si>
  <si>
    <r>
      <rPr>
        <b/>
        <sz val="14"/>
        <color rgb="FF1F3864"/>
        <rFont val="Noto Sans CJK SC"/>
        <charset val="134"/>
      </rPr>
      <t xml:space="preserve">缺失处置规则：栏位归属 </t>
    </r>
    <r>
      <rPr>
        <b/>
        <sz val="14"/>
        <color rgb="FF1F3864"/>
        <rFont val="Arial"/>
        <charset val="1"/>
      </rPr>
      <t xml:space="preserve">= </t>
    </r>
    <r>
      <rPr>
        <b/>
        <sz val="14"/>
        <color rgb="FF1F3864"/>
        <rFont val="Noto Sans CJK SC"/>
        <charset val="134"/>
      </rPr>
      <t>升级规则</t>
    </r>
  </si>
  <si>
    <r>
      <rPr>
        <sz val="10"/>
        <rFont val="Noto Sans CJK SC"/>
        <charset val="134"/>
      </rPr>
      <t xml:space="preserve">两栏的切分不是「活的分类」，而是「事故的分类」；由此，字段归哪一栏，就已经决定了缺失时怎么处置——不需要另设一套独立的 </t>
    </r>
    <r>
      <rPr>
        <sz val="10"/>
        <rFont val="Arial"/>
        <charset val="1"/>
      </rPr>
      <t xml:space="preserve">P0/P1/P2 </t>
    </r>
    <r>
      <rPr>
        <sz val="10"/>
        <rFont val="Noto Sans CJK SC"/>
        <charset val="134"/>
      </rPr>
      <t>判据。</t>
    </r>
  </si>
  <si>
    <t>出错时谁受损</t>
  </si>
  <si>
    <t>缺失时答案的性质</t>
  </si>
  <si>
    <t>处置</t>
  </si>
  <si>
    <t>可否默认</t>
  </si>
  <si>
    <t>典型字段</t>
  </si>
  <si>
    <r>
      <rPr>
        <sz val="10"/>
        <rFont val="Noto Sans CJK SC"/>
        <charset val="134"/>
      </rPr>
      <t xml:space="preserve">客户受损（买不到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赔不到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买错了）</t>
    </r>
  </si>
  <si>
    <t>答案【是错的】，而且错得贵：做完核保归零、理赔时落空、超额白花钱。</t>
  </si>
  <si>
    <t>阻塞：必须问，进待补清单最前</t>
  </si>
  <si>
    <t>❌ 不许默认</t>
  </si>
  <si>
    <t>可投性（体况）、存量、高客的「目的」</t>
  </si>
  <si>
    <t>单丢了（客户不受损）</t>
  </si>
  <si>
    <t>答案【只是通用】，不至于有害。</t>
  </si>
  <si>
    <t>降级：可默认（记入假设账本）或分支输出</t>
  </si>
  <si>
    <r>
      <rPr>
        <sz val="10"/>
        <rFont val="Noto Sans CJK SC"/>
        <charset val="134"/>
      </rPr>
      <t xml:space="preserve">✅ 可默认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可分支</t>
    </r>
  </si>
  <si>
    <t>保费水温、决策人、典型异议</t>
  </si>
  <si>
    <r>
      <rPr>
        <b/>
        <sz val="10"/>
        <rFont val="Noto Sans CJK SC"/>
        <charset val="134"/>
      </rPr>
      <t xml:space="preserve">接头 </t>
    </r>
    <r>
      <rPr>
        <b/>
        <sz val="10"/>
        <rFont val="Arial"/>
        <charset val="1"/>
      </rPr>
      <t xml:space="preserve">/ </t>
    </r>
    <r>
      <rPr>
        <b/>
        <sz val="10"/>
        <rFont val="Noto Sans CJK SC"/>
        <charset val="134"/>
      </rPr>
      <t>危险区</t>
    </r>
  </si>
  <si>
    <t>两边都可能</t>
  </si>
  <si>
    <r>
      <rPr>
        <sz val="10"/>
        <rFont val="Noto Sans CJK SC"/>
        <charset val="134"/>
      </rPr>
      <t>取决于往哪边倒：站规划侧只是「糙」，站策略侧可能变「错」（超配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炒停售）。</t>
    </r>
  </si>
  <si>
    <t>默认站规划侧 ＋ 把策略侧的存在告诉代理人，让他裁决</t>
  </si>
  <si>
    <t>⚠️ 默认站规划侧，且必须记入假设账本</t>
  </si>
  <si>
    <t>主题锁定、卖多少、版本控制、权益、时机</t>
  </si>
  <si>
    <t>对话本身失效</t>
  </si>
  <si>
    <r>
      <rPr>
        <sz val="10"/>
        <rFont val="Noto Sans CJK SC"/>
        <charset val="134"/>
      </rPr>
      <t xml:space="preserve">答非所问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反问三轮把人问走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一本正经胡说。</t>
    </r>
  </si>
  <si>
    <t>必须跑（客户判型）或必须输出（假设账本、待补清单）</t>
  </si>
  <si>
    <t>客户判型、客户进程</t>
  </si>
  <si>
    <t>整轮跑错</t>
  </si>
  <si>
    <t>他要体检，你给他重做一份。</t>
  </si>
  <si>
    <t>必须先识别，再决定跑什么</t>
  </si>
  <si>
    <t>不明确时按①处理，但开头一句确认</t>
  </si>
  <si>
    <t>解决问题（请求粒度）</t>
  </si>
  <si>
    <t>推论一：输出三件套</t>
  </si>
  <si>
    <t>方案 ＋ 假设账本 ＋ 待补清单。缺信息时【不能只反问代理人、而不给答案】——代理人是来要东西的，一个只会反问的工具他用两次就扔了。先基于「已知＋默认」给出答案，把猜的部分明账，把该问的列清。</t>
  </si>
  <si>
    <t>推论二：顺序约束的性质变化（从流程闸门 → 输出内容）</t>
  </si>
  <si>
    <r>
      <rPr>
        <sz val="10"/>
        <rFont val="Noto Sans CJK SC"/>
        <charset val="134"/>
      </rPr>
      <t>在「代理人—客户」的现实里，「预算不能先于缺口共识」是一条硬顺序。但在本工具形态里，代理人一开口就是「客户预算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万，给个方案」——他一定这么问，因为他脑子就这么装。
所以这条约束【不该由工具的对话流程来执行】，它变成【输出内容】：工具照样接住预算，同时独立算出缺口，把两个数一起还回去，外加一句提醒——「缺口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万，他给的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万只够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万。别急着报这个方案，先让他自己把</t>
    </r>
    <r>
      <rPr>
        <sz val="10"/>
        <rFont val="Arial"/>
        <charset val="1"/>
      </rPr>
      <t>300</t>
    </r>
    <r>
      <rPr>
        <sz val="10"/>
        <rFont val="Noto Sans CJK SC"/>
        <charset val="134"/>
      </rPr>
      <t>万算出来，再谈这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万能买到什么。」
本模块里几乎所有「顺序约束」都会这样转化：原来是闸门，现在是话术提醒。</t>
    </r>
  </si>
  <si>
    <t>推论三：时间轴塌缩成一个字段</t>
  </si>
  <si>
    <r>
      <rPr>
        <sz val="10"/>
        <rFont val="Noto Sans CJK SC"/>
        <charset val="134"/>
      </rPr>
      <t xml:space="preserve">「面谈①→回去做作业→面谈②」这条时间轴在陪伴式工具里是骨架，在本工具里塌缩成 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客户进程一个字段。它只干一件事——把待补清单里已经来不及的项筛掉，换成补救方案。</t>
    </r>
  </si>
  <si>
    <t>推论四：本工具的主战场是评审，不是设计</t>
  </si>
  <si>
    <r>
      <rPr>
        <sz val="10"/>
        <rFont val="Noto Sans CJK SC"/>
        <charset val="134"/>
      </rPr>
      <t xml:space="preserve">★分流器的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 xml:space="preserve">类请求里，有 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类（②③④⑤）是围绕【已有方案】的，只有 ① 是设计。这意味着评审的引擎——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 xml:space="preserve">理赔核验 ＋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 xml:space="preserve">反向压测 ＋ </t>
    </r>
    <r>
      <rPr>
        <sz val="10"/>
        <rFont val="Arial"/>
        <charset val="1"/>
      </rPr>
      <t xml:space="preserve">G12 </t>
    </r>
    <r>
      <rPr>
        <sz val="10"/>
        <rFont val="Noto Sans CJK SC"/>
        <charset val="134"/>
      </rPr>
      <t xml:space="preserve">适当性 ＋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 xml:space="preserve">可讲性——才是这个工具真正的心脏：它们在 </t>
    </r>
    <r>
      <rPr>
        <sz val="10"/>
        <rFont val="Arial"/>
        <charset val="1"/>
      </rPr>
      <t xml:space="preserve">4/5 </t>
    </r>
    <r>
      <rPr>
        <sz val="10"/>
        <rFont val="Noto Sans CJK SC"/>
        <charset val="134"/>
      </rPr>
      <t>类请求里都必跑。
推论：</t>
    </r>
    <r>
      <rPr>
        <sz val="10"/>
        <rFont val="Arial"/>
        <charset val="1"/>
      </rPr>
      <t xml:space="preserve">PoC </t>
    </r>
    <r>
      <rPr>
        <sz val="10"/>
        <rFont val="Noto Sans CJK SC"/>
        <charset val="134"/>
      </rPr>
      <t>应优先做「②帮我看看这个方案好不好」。价值高、风险低（代理人有作者身份，工具只做体检不替他决定），且它把四大件全部激活。</t>
    </r>
  </si>
  <si>
    <t>危险区：双重身份项（两栏并列的画法藏起来的东西）</t>
  </si>
  <si>
    <r>
      <rPr>
        <sz val="10"/>
        <rFont val="Noto Sans CJK SC"/>
        <charset val="134"/>
      </rPr>
      <t>两栏不是分工，是【博弈】。方案是这两栏吵完架之后的和解结果，而吵架的点是固定的几处——绩优的手感全在这里。
【关键】：工具在没有信息时替代理人裁决的每一次，就是假设账本（</t>
    </r>
    <r>
      <rPr>
        <sz val="10"/>
        <rFont val="Arial"/>
        <charset val="1"/>
      </rPr>
      <t>M03</t>
    </r>
    <r>
      <rPr>
        <sz val="10"/>
        <rFont val="Noto Sans CJK SC"/>
        <charset val="134"/>
      </rPr>
      <t xml:space="preserve">）里的一条。所以这一页 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>假设账本的主要来源。</t>
    </r>
  </si>
  <si>
    <t>#</t>
  </si>
  <si>
    <t>打架点</t>
  </si>
  <si>
    <t>规划侧主张</t>
  </si>
  <si>
    <t>策略侧主张</t>
  </si>
  <si>
    <t>冲突场景（示例）</t>
  </si>
  <si>
    <t>绩优的裁决规则</t>
  </si>
  <si>
    <t>工具的默认立场</t>
  </si>
  <si>
    <t>架①</t>
  </si>
  <si>
    <r>
      <rPr>
        <b/>
        <sz val="10"/>
        <rFont val="Noto Sans CJK SC"/>
        <charset val="134"/>
      </rPr>
      <t xml:space="preserve">主题 </t>
    </r>
    <r>
      <rPr>
        <b/>
        <sz val="10"/>
        <rFont val="Arial"/>
        <charset val="1"/>
      </rPr>
      <t xml:space="preserve">vs </t>
    </r>
    <r>
      <rPr>
        <b/>
        <sz val="10"/>
        <rFont val="Noto Sans CJK SC"/>
        <charset val="134"/>
      </rPr>
      <t>最大缺口
（</t>
    </r>
    <r>
      <rPr>
        <b/>
        <sz val="10"/>
        <rFont val="Arial"/>
        <charset val="1"/>
      </rPr>
      <t>S01</t>
    </r>
    <r>
      <rPr>
        <b/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</si>
  <si>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最大缺口是重疾</t>
    </r>
    <r>
      <rPr>
        <sz val="10"/>
        <rFont val="Arial"/>
        <charset val="1"/>
      </rPr>
      <t>80</t>
    </r>
    <r>
      <rPr>
        <sz val="10"/>
        <rFont val="Noto Sans CJK SC"/>
        <charset val="134"/>
      </rPr>
      <t>万，应该先填它。</t>
    </r>
  </si>
  <si>
    <t>他压根不关心重疾，他嘴里反复念叨的是孩子明年出国。</t>
  </si>
  <si>
    <t>规划算出的第一优先级，和客户的情绪落点，指向两个不同的东西。</t>
  </si>
  <si>
    <t>【用他关心的做入口，用他需要的做主体】。教育金做引子和情绪落点，重疾做保额大头。不是二选一——但核心主题只能有一个，另一个是搭车的。</t>
  </si>
  <si>
    <t>给分支，不硬锁。让代理人认领主题（他见过客户，我没见过）。</t>
  </si>
  <si>
    <t>架②</t>
  </si>
  <si>
    <r>
      <rPr>
        <b/>
        <sz val="10"/>
        <rFont val="Noto Sans CJK SC"/>
        <charset val="134"/>
      </rPr>
      <t>卖多少的上下限
（</t>
    </r>
    <r>
      <rPr>
        <b/>
        <sz val="10"/>
        <rFont val="Arial"/>
        <charset val="1"/>
      </rPr>
      <t>S03</t>
    </r>
    <r>
      <rPr>
        <b/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</si>
  <si>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有【下限】：低于某个数，主题撑不住（房贷</t>
    </r>
    <r>
      <rPr>
        <sz val="10"/>
        <rFont val="Arial"/>
        <charset val="1"/>
      </rPr>
      <t>280</t>
    </r>
    <r>
      <rPr>
        <sz val="10"/>
        <rFont val="Noto Sans CJK SC"/>
        <charset val="134"/>
      </rPr>
      <t>万，寿险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万撑不住「太太的后半辈子」）；且交不起就是交不起（</t>
    </r>
    <r>
      <rPr>
        <sz val="10"/>
        <rFont val="Arial"/>
        <charset val="1"/>
      </rPr>
      <t>G11</t>
    </r>
    <r>
      <rPr>
        <sz val="10"/>
        <rFont val="Noto Sans CJK SC"/>
        <charset val="134"/>
      </rPr>
      <t>）。</t>
    </r>
  </si>
  <si>
    <t>有【上限】：保费过了痛点，方案就死。从水温倒推首单。</t>
  </si>
  <si>
    <r>
      <rPr>
        <sz val="10"/>
        <rFont val="Noto Sans CJK SC"/>
        <charset val="134"/>
      </rPr>
      <t>水温倒推出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万，但</t>
    </r>
    <r>
      <rPr>
        <sz val="10"/>
        <rFont val="Arial"/>
        <charset val="1"/>
      </rPr>
      <t>100</t>
    </r>
    <r>
      <rPr>
        <sz val="10"/>
        <rFont val="Noto Sans CJK SC"/>
        <charset val="134"/>
      </rPr>
      <t>万撑不住主题。</t>
    </r>
  </si>
  <si>
    <t>【不硬做，换一个更小的主题做透】。先把重疾一件事做足，寿险这次一个字不提。六个维度撒胡椒面是新人标志。</t>
  </si>
  <si>
    <t>站规划侧：撑不住时给「换主题」建议，不给「硬做」方案。</t>
  </si>
  <si>
    <t>架③</t>
  </si>
  <si>
    <r>
      <rPr>
        <b/>
        <sz val="10"/>
        <rFont val="Noto Sans CJK SC"/>
        <charset val="134"/>
      </rPr>
      <t xml:space="preserve">可讲性砍刀 </t>
    </r>
    <r>
      <rPr>
        <b/>
        <sz val="10"/>
        <rFont val="Arial"/>
        <charset val="1"/>
      </rPr>
      <t xml:space="preserve">vs </t>
    </r>
    <r>
      <rPr>
        <b/>
        <sz val="10"/>
        <rFont val="Noto Sans CJK SC"/>
        <charset val="134"/>
      </rPr>
      <t>结构完整
（</t>
    </r>
    <r>
      <rPr>
        <b/>
        <sz val="10"/>
        <rFont val="Arial"/>
        <charset val="1"/>
      </rPr>
      <t>S07 / G05 / G10</t>
    </r>
    <r>
      <rPr>
        <b/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</si>
  <si>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 xml:space="preserve">最优解是五个险种精密咬合；且【豁免不能砍】（砍了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直接否决）。</t>
    </r>
  </si>
  <si>
    <t>讲不清＝卖不掉。判据是【中等水平代理人能不能复述】，不是客户能不能听懂。砍到两个。</t>
  </si>
  <si>
    <t>为了简化方案，把投保人豁免砍掉了。</t>
  </si>
  <si>
    <t>【可讲性这把刀有禁区，禁区由理赔核验划】。能砍搭车责任，不能砍豁免、不能砍主体保额。</t>
  </si>
  <si>
    <r>
      <rPr>
        <sz val="10"/>
        <rFont val="Noto Sans CJK SC"/>
        <charset val="134"/>
      </rPr>
      <t xml:space="preserve">站规划侧：简化建议必须先过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禁区检查。</t>
    </r>
  </si>
  <si>
    <t>架④</t>
  </si>
  <si>
    <r>
      <rPr>
        <b/>
        <sz val="10"/>
        <rFont val="Noto Sans CJK SC"/>
        <charset val="134"/>
      </rPr>
      <t xml:space="preserve">权益门槛 </t>
    </r>
    <r>
      <rPr>
        <b/>
        <sz val="10"/>
        <rFont val="Arial"/>
        <charset val="1"/>
      </rPr>
      <t xml:space="preserve">vs </t>
    </r>
    <r>
      <rPr>
        <b/>
        <sz val="10"/>
        <rFont val="Noto Sans CJK SC"/>
        <charset val="134"/>
      </rPr>
      <t>合理保费
（</t>
    </r>
    <r>
      <rPr>
        <b/>
        <sz val="10"/>
        <rFont val="Arial"/>
        <charset val="1"/>
      </rPr>
      <t>G08</t>
    </r>
    <r>
      <rPr>
        <b/>
        <sz val="10"/>
        <rFont val="Noto Sans CJK SC"/>
        <charset val="134"/>
      </rPr>
      <t>）</t>
    </r>
  </si>
  <si>
    <r>
      <rPr>
        <sz val="10"/>
        <rFont val="Noto Sans CJK SC"/>
        <charset val="134"/>
      </rPr>
      <t>保费应对应缺口。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万门槛与客户任何缺口都无关。</t>
    </r>
  </si>
  <si>
    <r>
      <rPr>
        <sz val="10"/>
        <rFont val="Noto Sans CJK SC"/>
        <charset val="134"/>
      </rPr>
      <t>「再加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万就够上养老社区资格了」——现成的拉高保费的理由。</t>
    </r>
  </si>
  <si>
    <r>
      <rPr>
        <sz val="10"/>
        <rFont val="Noto Sans CJK SC"/>
        <charset val="134"/>
      </rPr>
      <t>权益门槛卡</t>
    </r>
    <r>
      <rPr>
        <sz val="10"/>
        <rFont val="Arial"/>
        <charset val="1"/>
      </rPr>
      <t>20</t>
    </r>
    <r>
      <rPr>
        <sz val="10"/>
        <rFont val="Noto Sans CJK SC"/>
        <charset val="134"/>
      </rPr>
      <t>万，客户合理保费</t>
    </r>
    <r>
      <rPr>
        <sz val="10"/>
        <rFont val="Arial"/>
        <charset val="1"/>
      </rPr>
      <t>12</t>
    </r>
    <r>
      <rPr>
        <sz val="10"/>
        <rFont val="Noto Sans CJK SC"/>
        <charset val="134"/>
      </rPr>
      <t>万。</t>
    </r>
  </si>
  <si>
    <t>【权益可以是锦上添花的理由，不能是保额的决定因素】。它给出一个和需求无关的数字，然后整个方案往那个数字上靠——这不是设计，是被门槛牵着走。</t>
  </si>
  <si>
    <r>
      <rPr>
        <sz val="10"/>
        <rFont val="Noto Sans CJK SC"/>
        <charset val="134"/>
      </rPr>
      <t>站规划侧：默认不为门槛调高保费；但把「差</t>
    </r>
    <r>
      <rPr>
        <sz val="10"/>
        <rFont val="Arial"/>
        <charset val="1"/>
      </rPr>
      <t>8</t>
    </r>
    <r>
      <rPr>
        <sz val="10"/>
        <rFont val="Noto Sans CJK SC"/>
        <charset val="134"/>
      </rPr>
      <t>万够门槛、这属超配」双面告诉代理人，让他裁决。</t>
    </r>
  </si>
  <si>
    <t>架⑤</t>
  </si>
  <si>
    <r>
      <rPr>
        <b/>
        <sz val="10"/>
        <rFont val="Noto Sans CJK SC"/>
        <charset val="134"/>
      </rPr>
      <t>低档版的形态
（</t>
    </r>
    <r>
      <rPr>
        <b/>
        <sz val="10"/>
        <rFont val="Arial"/>
        <charset val="1"/>
      </rPr>
      <t>S06</t>
    </r>
    <r>
      <rPr>
        <b/>
        <sz val="10"/>
        <rFont val="Noto Sans CJK SC"/>
        <charset val="134"/>
      </rPr>
      <t>）</t>
    </r>
  </si>
  <si>
    <t>低配版不能是「全都有但都不够」——理赔那天等于没买。</t>
  </si>
  <si>
    <t>高中低三档用来控制框架，低档要显得「便宜也能有」。</t>
  </si>
  <si>
    <t>基础版做成全家四口每人一点，每人都不够。</t>
  </si>
  <si>
    <t>【低配版靠收窄范围实现，不靠全面降配】。人更少、险种更少，但留下的那部分是足额的。</t>
  </si>
  <si>
    <r>
      <rPr>
        <sz val="10"/>
        <rFont val="Noto Sans CJK SC"/>
        <charset val="134"/>
      </rPr>
      <t xml:space="preserve">站规划侧：低档版必须过 </t>
    </r>
    <r>
      <rPr>
        <sz val="10"/>
        <rFont val="Arial"/>
        <charset val="1"/>
      </rPr>
      <t xml:space="preserve">G10/G11 </t>
    </r>
    <r>
      <rPr>
        <sz val="10"/>
        <rFont val="Noto Sans CJK SC"/>
        <charset val="134"/>
      </rPr>
      <t>自检。</t>
    </r>
  </si>
  <si>
    <t>架⑥</t>
  </si>
  <si>
    <r>
      <rPr>
        <b/>
        <sz val="10"/>
        <rFont val="Noto Sans CJK SC"/>
        <charset val="134"/>
      </rPr>
      <t xml:space="preserve">时机：事实 </t>
    </r>
    <r>
      <rPr>
        <b/>
        <sz val="10"/>
        <rFont val="Arial"/>
        <charset val="1"/>
      </rPr>
      <t xml:space="preserve">vs </t>
    </r>
    <r>
      <rPr>
        <b/>
        <sz val="10"/>
        <rFont val="Noto Sans CJK SC"/>
        <charset val="134"/>
      </rPr>
      <t>紧迫性
（</t>
    </r>
    <r>
      <rPr>
        <b/>
        <sz val="10"/>
        <rFont val="Arial"/>
        <charset val="1"/>
      </rPr>
      <t>S10</t>
    </r>
    <r>
      <rPr>
        <b/>
        <sz val="10"/>
        <rFont val="Noto Sans CJK SC"/>
        <charset val="134"/>
      </rPr>
      <t>）</t>
    </r>
  </si>
  <si>
    <t>年龄跳档、等待期、健康窗口——这些是【客观事实】，如实告知是专业。</t>
  </si>
  <si>
    <t>紧迫性是推动成交的杠杆。产品下架、利率切换是现成的紧迫性来源。</t>
  </si>
  <si>
    <t>「这款下个月停售，最后机会」。</t>
  </si>
  <si>
    <t>【越线即炒停售，是明确的合规红线】。事实与包装之间有一条清晰的线。</t>
  </si>
  <si>
    <r>
      <rPr>
        <sz val="10"/>
        <rFont val="Noto Sans CJK SC"/>
        <charset val="134"/>
      </rPr>
      <t>只给事实（年龄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等待期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健康窗口），【不生成任何以下架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停售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利率切换为由的紧迫性话术】。紧迫性由代理人自己承担。</t>
    </r>
  </si>
  <si>
    <t>对称的两对：出口闸 ＋ 评审四大件</t>
  </si>
  <si>
    <r>
      <rPr>
        <sz val="10"/>
        <rFont val="Noto Sans CJK SC"/>
        <charset val="134"/>
      </rPr>
      <t xml:space="preserve">两栏各自都有一个「倒着做」的压测，地位相等：
■ 策略侧 </t>
    </r>
    <r>
      <rPr>
        <sz val="10"/>
        <rFont val="Arial"/>
        <charset val="1"/>
      </rPr>
      <t xml:space="preserve">· S05 </t>
    </r>
    <r>
      <rPr>
        <sz val="10"/>
        <rFont val="Noto Sans CJK SC"/>
        <charset val="134"/>
      </rPr>
      <t xml:space="preserve">设计反向压测 —— 客户会在哪句话上说「不」 → 测【卖不卖得掉】
■ 规划侧 </t>
    </r>
    <r>
      <rPr>
        <sz val="10"/>
        <rFont val="Arial"/>
        <charset val="1"/>
      </rPr>
      <t xml:space="preserve">· G10 </t>
    </r>
    <r>
      <rPr>
        <sz val="10"/>
        <rFont val="Noto Sans CJK SC"/>
        <charset val="134"/>
      </rPr>
      <t xml:space="preserve">理赔核验 —— 出事那天钱会在哪一步卡住 → 测【赔不赔得到】
■ 外加 </t>
    </r>
    <r>
      <rPr>
        <sz val="10"/>
        <rFont val="Arial"/>
        <charset val="1"/>
      </rPr>
      <t xml:space="preserve">G11 </t>
    </r>
    <r>
      <rPr>
        <sz val="10"/>
        <rFont val="Noto Sans CJK SC"/>
        <charset val="134"/>
      </rPr>
      <t xml:space="preserve">存续核验（与 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>对称）：不出事的日子里，这张保单活不活得到那天 → 测【交不交得起】
【评审四大件】：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 xml:space="preserve">理赔核验 ＋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 xml:space="preserve">反向压测 ＋ </t>
    </r>
    <r>
      <rPr>
        <sz val="10"/>
        <rFont val="Arial"/>
        <charset val="1"/>
      </rPr>
      <t xml:space="preserve">G12 </t>
    </r>
    <r>
      <rPr>
        <sz val="10"/>
        <rFont val="Noto Sans CJK SC"/>
        <charset val="134"/>
      </rPr>
      <t xml:space="preserve">适当性 ＋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 xml:space="preserve">可讲性。这四项在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 xml:space="preserve">类请求里有 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类必跑——它们是这个工具真正的心脏。</t>
    </r>
  </si>
  <si>
    <r>
      <rPr>
        <b/>
        <sz val="14"/>
        <color rgb="FF1F3864"/>
        <rFont val="Noto Sans CJK SC"/>
        <charset val="134"/>
      </rPr>
      <t xml:space="preserve">解决问题 </t>
    </r>
    <r>
      <rPr>
        <b/>
        <sz val="14"/>
        <color rgb="FF1F3864"/>
        <rFont val="Arial"/>
        <charset val="1"/>
      </rPr>
      <t xml:space="preserve">× </t>
    </r>
    <r>
      <rPr>
        <b/>
        <sz val="14"/>
        <color rgb="FF1F3864"/>
        <rFont val="Noto Sans CJK SC"/>
        <charset val="134"/>
      </rPr>
      <t>动作矩阵：不同的问题，跑的东西不同</t>
    </r>
  </si>
  <si>
    <t>由 ★分流器「解决问题」驱动。●＝必跑　○＝按需　—＝不跑</t>
  </si>
  <si>
    <t>项目</t>
  </si>
  <si>
    <t>①「帮我给李平安做个方案」</t>
  </si>
  <si>
    <t>②「帮我看看这个方案好不好」</t>
  </si>
  <si>
    <t>③「该怎么给李平安讲解这个方案」</t>
  </si>
  <si>
    <t>④「这两种方案哪个好」</t>
  </si>
  <si>
    <t>⑤「这份方案有什么需要注意的点」</t>
  </si>
  <si>
    <t>跑什么→</t>
  </si>
  <si>
    <t>方案的设计</t>
  </si>
  <si>
    <r>
      <rPr>
        <i/>
        <sz val="10"/>
        <color rgb="FF595959"/>
        <rFont val="Noto Sans CJK SC"/>
        <charset val="134"/>
      </rPr>
      <t>只做评审</t>
    </r>
    <r>
      <rPr>
        <i/>
        <sz val="10"/>
        <color rgb="FF595959"/>
        <rFont val="Arial"/>
        <charset val="1"/>
      </rPr>
      <t>/</t>
    </r>
    <r>
      <rPr>
        <i/>
        <sz val="10"/>
        <color rgb="FF595959"/>
        <rFont val="Noto Sans CJK SC"/>
        <charset val="134"/>
      </rPr>
      <t>体检</t>
    </r>
  </si>
  <si>
    <r>
      <rPr>
        <i/>
        <sz val="10"/>
        <color rgb="FF595959"/>
        <rFont val="Arial"/>
        <charset val="1"/>
      </rPr>
      <t xml:space="preserve">Stage4 </t>
    </r>
    <r>
      <rPr>
        <i/>
        <sz val="10"/>
        <color rgb="FF595959"/>
        <rFont val="Noto Sans CJK SC"/>
        <charset val="134"/>
      </rPr>
      <t>沟通策略的问题，但会掉落进来</t>
    </r>
  </si>
  <si>
    <r>
      <rPr>
        <i/>
        <sz val="10"/>
        <color rgb="FF595959"/>
        <rFont val="Noto Sans CJK SC"/>
        <charset val="134"/>
      </rPr>
      <t>评审</t>
    </r>
    <r>
      <rPr>
        <i/>
        <sz val="10"/>
        <color rgb="FF595959"/>
        <rFont val="Arial"/>
        <charset val="1"/>
      </rPr>
      <t>+</t>
    </r>
    <r>
      <rPr>
        <i/>
        <sz val="10"/>
        <color rgb="FF595959"/>
        <rFont val="Noto Sans CJK SC"/>
        <charset val="134"/>
      </rPr>
      <t>问答</t>
    </r>
  </si>
  <si>
    <r>
      <rPr>
        <i/>
        <sz val="10"/>
        <color rgb="FF595959"/>
        <rFont val="Noto Sans CJK SC"/>
        <charset val="134"/>
      </rPr>
      <t>评审</t>
    </r>
    <r>
      <rPr>
        <i/>
        <sz val="10"/>
        <color rgb="FF595959"/>
        <rFont val="Arial"/>
        <charset val="1"/>
      </rPr>
      <t>+</t>
    </r>
    <r>
      <rPr>
        <i/>
        <sz val="10"/>
        <color rgb="FF595959"/>
        <rFont val="Noto Sans CJK SC"/>
        <charset val="134"/>
      </rPr>
      <t>待补清单</t>
    </r>
  </si>
  <si>
    <t>●</t>
  </si>
  <si>
    <t>○</t>
  </si>
  <si>
    <r>
      <rPr>
        <b/>
        <sz val="10"/>
        <rFont val="Noto Sans CJK SC"/>
        <charset val="134"/>
      </rPr>
      <t>讲什么</t>
    </r>
    <r>
      <rPr>
        <b/>
        <sz val="10"/>
        <rFont val="Arial"/>
        <charset val="1"/>
      </rPr>
      <t>/</t>
    </r>
    <r>
      <rPr>
        <b/>
        <sz val="10"/>
        <rFont val="Noto Sans CJK SC"/>
        <charset val="134"/>
      </rPr>
      <t>可讲性</t>
    </r>
  </si>
  <si>
    <t>可投性</t>
  </si>
  <si>
    <t>保费试算</t>
  </si>
  <si>
    <t>高客架构</t>
  </si>
  <si>
    <t>必须看到的事实：五类里有四类是围绕「已有方案」的</t>
  </si>
  <si>
    <t>① 是设计；②③④⑤ 都是拿着一份已有方案来问。这意味着——【本工具的主战场是评审，不是设计】。</t>
  </si>
  <si>
    <r>
      <rPr>
        <sz val="10"/>
        <rFont val="Noto Sans CJK SC"/>
        <charset val="134"/>
      </rPr>
      <t>【评审四大件】（黄底标出）：</t>
    </r>
    <r>
      <rPr>
        <sz val="10"/>
        <rFont val="Arial"/>
        <charset val="1"/>
      </rPr>
      <t xml:space="preserve">G10 </t>
    </r>
    <r>
      <rPr>
        <sz val="10"/>
        <rFont val="Noto Sans CJK SC"/>
        <charset val="134"/>
      </rPr>
      <t xml:space="preserve">理赔核验 ＋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 xml:space="preserve">反向压测 ＋ </t>
    </r>
    <r>
      <rPr>
        <sz val="10"/>
        <rFont val="Arial"/>
        <charset val="1"/>
      </rPr>
      <t xml:space="preserve">G12 </t>
    </r>
    <r>
      <rPr>
        <sz val="10"/>
        <rFont val="Noto Sans CJK SC"/>
        <charset val="134"/>
      </rPr>
      <t xml:space="preserve">适当性 ＋ </t>
    </r>
    <r>
      <rPr>
        <sz val="10"/>
        <rFont val="Arial"/>
        <charset val="1"/>
      </rPr>
      <t xml:space="preserve">S07 </t>
    </r>
    <r>
      <rPr>
        <sz val="10"/>
        <rFont val="Noto Sans CJK SC"/>
        <charset val="134"/>
      </rPr>
      <t xml:space="preserve">可讲性。它们在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 xml:space="preserve">类里有 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类必跑，是这个工具真正的心脏。</t>
    </r>
  </si>
  <si>
    <r>
      <rPr>
        <sz val="10"/>
        <rFont val="Noto Sans CJK SC"/>
        <charset val="134"/>
      </rPr>
      <t>【</t>
    </r>
    <r>
      <rPr>
        <sz val="10"/>
        <rFont val="Arial"/>
        <charset val="1"/>
      </rPr>
      <t xml:space="preserve">PoC </t>
    </r>
    <r>
      <rPr>
        <sz val="10"/>
        <rFont val="Noto Sans CJK SC"/>
        <charset val="134"/>
      </rPr>
      <t>建议】：优先做 ②「帮我看看这个方案好不好」——价值高、风险低（代理人有作者身份，工具只做体检、不替他做决定），且它把四大件全部激活。</t>
    </r>
  </si>
  <si>
    <t>几处需要留意的判断</t>
  </si>
  <si>
    <r>
      <rPr>
        <sz val="10"/>
        <rFont val="Arial"/>
        <charset val="1"/>
      </rPr>
      <t xml:space="preserve">• S01 </t>
    </r>
    <r>
      <rPr>
        <sz val="10"/>
        <rFont val="Noto Sans CJK SC"/>
        <charset val="134"/>
      </rPr>
      <t xml:space="preserve">主题在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类里全部必跑：评审的第一问是「这份方案有主题吗」；④ 比较两案的第一问是「它们是不是同一个主题」——【不同主题的两个方案不可比】。</t>
    </r>
  </si>
  <si>
    <r>
      <rPr>
        <sz val="10"/>
        <rFont val="Noto Sans CJK SC"/>
        <charset val="134"/>
      </rPr>
      <t xml:space="preserve">• ③「怎么讲解」虽属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 xml:space="preserve">，但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>反向压测在这里仍必跑：因为「不会讲」的根因往往是「设计没打中主题」，应先回退检查设计，而不是直接给话术。</t>
    </r>
  </si>
  <si>
    <r>
      <rPr>
        <sz val="10"/>
        <rFont val="Noto Sans CJK SC"/>
        <charset val="134"/>
      </rPr>
      <t xml:space="preserve">• ④「这两种方案哪个好」里 </t>
    </r>
    <r>
      <rPr>
        <sz val="10"/>
        <rFont val="Arial"/>
        <charset val="1"/>
      </rPr>
      <t xml:space="preserve">G05 </t>
    </r>
    <r>
      <rPr>
        <sz val="10"/>
        <rFont val="Noto Sans CJK SC"/>
        <charset val="134"/>
      </rPr>
      <t xml:space="preserve">险种组合 ＋ </t>
    </r>
    <r>
      <rPr>
        <sz val="10"/>
        <rFont val="Arial"/>
        <charset val="1"/>
      </rPr>
      <t xml:space="preserve">S06 </t>
    </r>
    <r>
      <rPr>
        <sz val="10"/>
        <rFont val="Noto Sans CJK SC"/>
        <charset val="134"/>
      </rPr>
      <t xml:space="preserve">版本控制必跑：若两案差异落在产品名上，答案不是「哪个好」，而是「你问错了问题」（见 </t>
    </r>
    <r>
      <rPr>
        <sz val="10"/>
        <rFont val="Arial"/>
        <charset val="1"/>
      </rPr>
      <t xml:space="preserve">S06 </t>
    </r>
    <r>
      <rPr>
        <sz val="10"/>
        <rFont val="Noto Sans CJK SC"/>
        <charset val="134"/>
      </rPr>
      <t>硬规则）。</t>
    </r>
  </si>
  <si>
    <r>
      <rPr>
        <sz val="10"/>
        <rFont val="Arial"/>
        <charset val="1"/>
      </rPr>
      <t xml:space="preserve">• M03 </t>
    </r>
    <r>
      <rPr>
        <sz val="10"/>
        <rFont val="Noto Sans CJK SC"/>
        <charset val="134"/>
      </rPr>
      <t xml:space="preserve">假设账本在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类里全部必输出——评审也是基于假设做的。</t>
    </r>
  </si>
  <si>
    <r>
      <rPr>
        <b/>
        <sz val="14"/>
        <color rgb="FF1F3864"/>
        <rFont val="Noto Sans CJK SC"/>
        <charset val="134"/>
      </rPr>
      <t>版本变更：</t>
    </r>
    <r>
      <rPr>
        <b/>
        <sz val="14"/>
        <color rgb="FF1F3864"/>
        <rFont val="Arial"/>
        <charset val="1"/>
      </rPr>
      <t>v1 → v2</t>
    </r>
    <r>
      <rPr>
        <b/>
        <sz val="14"/>
        <color rgb="FF1F3864"/>
        <rFont val="Noto Sans CJK SC"/>
        <charset val="134"/>
      </rPr>
      <t>（对齐简要版修订）</t>
    </r>
  </si>
  <si>
    <t>以你修订后的简要版为准，回改详细版。下表列出全部差异。</t>
  </si>
  <si>
    <t>类型</t>
  </si>
  <si>
    <t>v1</t>
  </si>
  <si>
    <r>
      <rPr>
        <b/>
        <sz val="10"/>
        <color rgb="FFFFFFFF"/>
        <rFont val="Arial"/>
        <charset val="1"/>
      </rPr>
      <t>v2</t>
    </r>
    <r>
      <rPr>
        <b/>
        <sz val="10"/>
        <color rgb="FFFFFFFF"/>
        <rFont val="Noto Sans CJK SC"/>
        <charset val="134"/>
      </rPr>
      <t>（本版）</t>
    </r>
  </si>
  <si>
    <r>
      <rPr>
        <b/>
        <sz val="10"/>
        <color rgb="FFFFFFFF"/>
        <rFont val="Noto Sans CJK SC"/>
        <charset val="134"/>
      </rPr>
      <t xml:space="preserve">说明 </t>
    </r>
    <r>
      <rPr>
        <b/>
        <sz val="10"/>
        <color rgb="FFFFFFFF"/>
        <rFont val="Arial"/>
        <charset val="1"/>
      </rPr>
      <t xml:space="preserve">/ </t>
    </r>
    <r>
      <rPr>
        <b/>
        <sz val="10"/>
        <color rgb="FFFFFFFF"/>
        <rFont val="Noto Sans CJK SC"/>
        <charset val="134"/>
      </rPr>
      <t>影响</t>
    </r>
  </si>
  <si>
    <t>↑ 提级</t>
  </si>
  <si>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请求粒度识别（元层第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项，计入</t>
    </r>
    <r>
      <rPr>
        <sz val="10"/>
        <rFont val="Arial"/>
        <charset val="1"/>
      </rPr>
      <t>27</t>
    </r>
    <r>
      <rPr>
        <sz val="10"/>
        <rFont val="Noto Sans CJK SC"/>
        <charset val="134"/>
      </rPr>
      <t>项）</t>
    </r>
  </si>
  <si>
    <r>
      <rPr>
        <sz val="10"/>
        <rFont val="Noto Sans CJK SC"/>
        <charset val="134"/>
      </rPr>
      <t>★ 分流器「解决问题」（前置，不计入</t>
    </r>
    <r>
      <rPr>
        <sz val="10"/>
        <rFont val="Arial"/>
        <charset val="1"/>
      </rPr>
      <t>26</t>
    </r>
    <r>
      <rPr>
        <sz val="10"/>
        <rFont val="Noto Sans CJK SC"/>
        <charset val="134"/>
      </rPr>
      <t>项）</t>
    </r>
  </si>
  <si>
    <r>
      <rPr>
        <sz val="10"/>
        <rFont val="Noto Sans CJK SC"/>
        <charset val="134"/>
      </rPr>
      <t xml:space="preserve">这是本次最实质的改动。它从「元层的一项」变成「先于一切的分流器」——先判他在问什么，再决定跑什么。计数由 </t>
    </r>
    <r>
      <rPr>
        <sz val="10"/>
        <rFont val="Arial"/>
        <charset val="1"/>
      </rPr>
      <t>27 → 26</t>
    </r>
    <r>
      <rPr>
        <sz val="10"/>
        <rFont val="Noto Sans CJK SC"/>
        <charset val="134"/>
      </rPr>
      <t>。
影响：动作矩阵整页重做；它不再与判型、账本并列，而是站在它们前面。</t>
    </r>
  </si>
  <si>
    <t>✎ 改口径</t>
  </si>
  <si>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类请求：① 给我个方案 ② 帮我看看 ③ 面谈前该注意什么 ④ 客户说太贵 ⑤ 这两种结构哪个好</t>
    </r>
  </si>
  <si>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类请求：①帮我给李平安做个方案（设计）②帮我看看这个方案好不好（评审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体检）③该怎么给李平安讲解（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>，会掉落进来）④这两种方案哪个好（评审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问答）⑤这份方案有什么需要注意的点（评审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待补清单）</t>
    </r>
  </si>
  <si>
    <r>
      <rPr>
        <sz val="10"/>
        <rFont val="Noto Sans CJK SC"/>
        <charset val="134"/>
      </rPr>
      <t xml:space="preserve">【这次改动暴露了一个此前没看清的事实】：新口径里 </t>
    </r>
    <r>
      <rPr>
        <sz val="10"/>
        <rFont val="Arial"/>
        <charset val="1"/>
      </rPr>
      <t xml:space="preserve">4/5 </t>
    </r>
    <r>
      <rPr>
        <sz val="10"/>
        <rFont val="Noto Sans CJK SC"/>
        <charset val="134"/>
      </rPr>
      <t>类是围绕【已有方案】的，只有 ① 是设计。所以本工具的主战场是评审，不是设计——评审四大件（</t>
    </r>
    <r>
      <rPr>
        <sz val="10"/>
        <rFont val="Arial"/>
        <charset val="1"/>
      </rPr>
      <t>G10/S05/G12/S07</t>
    </r>
    <r>
      <rPr>
        <sz val="10"/>
        <rFont val="Noto Sans CJK SC"/>
        <charset val="134"/>
      </rPr>
      <t>）才是心脏。
另：「面谈前我该注意什么」被删除；「客户说太贵」换成了「怎么讲解」。</t>
    </r>
  </si>
  <si>
    <t>✎ 改名</t>
  </si>
  <si>
    <r>
      <rPr>
        <sz val="10"/>
        <rFont val="Arial"/>
        <charset val="1"/>
      </rPr>
      <t xml:space="preserve">M01 </t>
    </r>
    <r>
      <rPr>
        <sz val="10"/>
        <rFont val="Noto Sans CJK SC"/>
        <charset val="134"/>
      </rPr>
      <t>判型</t>
    </r>
  </si>
  <si>
    <r>
      <rPr>
        <sz val="10"/>
        <rFont val="Arial"/>
        <charset val="1"/>
      </rPr>
      <t xml:space="preserve">M01 </t>
    </r>
    <r>
      <rPr>
        <sz val="10"/>
        <rFont val="Noto Sans CJK SC"/>
        <charset val="134"/>
      </rPr>
      <t>客户判型</t>
    </r>
  </si>
  <si>
    <t>更准。「判型」容易被误读成判方案的型。</t>
  </si>
  <si>
    <r>
      <rPr>
        <b/>
        <sz val="10"/>
        <rFont val="Noto Sans CJK SC"/>
        <charset val="134"/>
      </rPr>
      <t>✎ 改名</t>
    </r>
    <r>
      <rPr>
        <b/>
        <sz val="10"/>
        <rFont val="Arial"/>
        <charset val="1"/>
      </rPr>
      <t>+</t>
    </r>
    <r>
      <rPr>
        <b/>
        <sz val="10"/>
        <rFont val="Noto Sans CJK SC"/>
        <charset val="134"/>
      </rPr>
      <t>重编号</t>
    </r>
  </si>
  <si>
    <r>
      <rPr>
        <sz val="10"/>
        <rFont val="Arial"/>
        <charset val="1"/>
      </rPr>
      <t xml:space="preserve">M03 </t>
    </r>
    <r>
      <rPr>
        <sz val="10"/>
        <rFont val="Noto Sans CJK SC"/>
        <charset val="134"/>
      </rPr>
      <t>到哪一步了</t>
    </r>
  </si>
  <si>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客户进程</t>
    </r>
  </si>
  <si>
    <r>
      <rPr>
        <sz val="10"/>
        <rFont val="Noto Sans CJK SC"/>
        <charset val="134"/>
      </rPr>
      <t xml:space="preserve">取值明确为：还没见过面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已经面谈了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方案讲过了……。用途不变：只用来过滤待补清单里已经来不及的项。</t>
    </r>
  </si>
  <si>
    <t>↺ 重编号</t>
  </si>
  <si>
    <r>
      <rPr>
        <sz val="10"/>
        <rFont val="Arial"/>
        <charset val="1"/>
      </rPr>
      <t xml:space="preserve">M04 </t>
    </r>
    <r>
      <rPr>
        <sz val="10"/>
        <rFont val="Noto Sans CJK SC"/>
        <charset val="134"/>
      </rPr>
      <t xml:space="preserve">假设账本 </t>
    </r>
    <r>
      <rPr>
        <sz val="10"/>
        <rFont val="Arial"/>
        <charset val="1"/>
      </rPr>
      <t xml:space="preserve">/ M05 </t>
    </r>
    <r>
      <rPr>
        <sz val="10"/>
        <rFont val="Noto Sans CJK SC"/>
        <charset val="134"/>
      </rPr>
      <t>待补清单</t>
    </r>
  </si>
  <si>
    <r>
      <rPr>
        <sz val="10"/>
        <rFont val="Arial"/>
        <charset val="1"/>
      </rPr>
      <t xml:space="preserve">M03 </t>
    </r>
    <r>
      <rPr>
        <sz val="10"/>
        <rFont val="Noto Sans CJK SC"/>
        <charset val="134"/>
      </rPr>
      <t xml:space="preserve">假设账本 </t>
    </r>
    <r>
      <rPr>
        <sz val="10"/>
        <rFont val="Arial"/>
        <charset val="1"/>
      </rPr>
      <t xml:space="preserve">/ M04 </t>
    </r>
    <r>
      <rPr>
        <sz val="10"/>
        <rFont val="Noto Sans CJK SC"/>
        <charset val="134"/>
      </rPr>
      <t>待补清单</t>
    </r>
  </si>
  <si>
    <r>
      <rPr>
        <sz val="10"/>
        <rFont val="Noto Sans CJK SC"/>
        <charset val="134"/>
      </rPr>
      <t xml:space="preserve">元层由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 xml:space="preserve">项减为 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项。</t>
    </r>
  </si>
  <si>
    <t>✎ 措辞</t>
  </si>
  <si>
    <t>「一个方案只能有一个主题」</t>
  </si>
  <si>
    <t>「一个方案只能有一个【核心】主题」</t>
  </si>
  <si>
    <t>这个「核心」加得对。它承认可以有搭车责任，但只能有一个核心——与「其余责任是搭车的」正好呼应，也避免被误读成「一个方案只保一件事」。</t>
  </si>
  <si>
    <t>假设账本：「我猜了什么」</t>
  </si>
  <si>
    <t>「在输出本次的答案时，我猜了什么」</t>
  </si>
  <si>
    <t>锚定到「本次回答」。这一改也顺带明确了：账本是每轮都要出的，不是方案的附录。</t>
  </si>
  <si>
    <t>「缺信息时不得只反问不给答案」</t>
  </si>
  <si>
    <t>「缺信息时不能只反问代理人，而不给答案」</t>
  </si>
  <si>
    <t>口语化，含义不变。</t>
  </si>
  <si>
    <t>✎ 命名</t>
  </si>
  <si>
    <t>问题全集</t>
  </si>
  <si>
    <t>逻辑全集</t>
  </si>
  <si>
    <r>
      <rPr>
        <sz val="10"/>
        <rFont val="Noto Sans CJK SC"/>
        <charset val="134"/>
      </rPr>
      <t>全表统一。注：你的简要版第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行仍指向《方案推荐</t>
    </r>
    <r>
      <rPr>
        <sz val="10"/>
        <rFont val="Arial"/>
        <charset val="1"/>
      </rPr>
      <t>_</t>
    </r>
    <r>
      <rPr>
        <sz val="10"/>
        <rFont val="Noto Sans CJK SC"/>
        <charset val="134"/>
      </rPr>
      <t>问题全集</t>
    </r>
    <r>
      <rPr>
        <sz val="10"/>
        <rFont val="Arial"/>
        <charset val="1"/>
      </rPr>
      <t>_v1.xlsx</t>
    </r>
    <r>
      <rPr>
        <sz val="10"/>
        <rFont val="Noto Sans CJK SC"/>
        <charset val="134"/>
      </rPr>
      <t>》，需同步改成本文件名。</t>
    </r>
  </si>
  <si>
    <t>＋ 新增页</t>
  </si>
  <si>
    <t>「版本变更」页（本页）</t>
  </si>
  <si>
    <r>
      <rPr>
        <sz val="10"/>
        <rFont val="Noto Sans CJK SC"/>
        <charset val="134"/>
      </rPr>
      <t xml:space="preserve">替代原「与原图的差异」页——手稿差异已在 </t>
    </r>
    <r>
      <rPr>
        <sz val="10"/>
        <rFont val="Arial"/>
        <charset val="1"/>
      </rPr>
      <t xml:space="preserve">v1 </t>
    </r>
    <r>
      <rPr>
        <sz val="10"/>
        <rFont val="Noto Sans CJK SC"/>
        <charset val="134"/>
      </rPr>
      <t xml:space="preserve">交付时对齐完毕，本页转为记录 </t>
    </r>
    <r>
      <rPr>
        <sz val="10"/>
        <rFont val="Arial"/>
        <charset val="1"/>
      </rPr>
      <t>v1→v2</t>
    </r>
    <r>
      <rPr>
        <sz val="10"/>
        <rFont val="Noto Sans CJK SC"/>
        <charset val="134"/>
      </rPr>
      <t>。</t>
    </r>
  </si>
  <si>
    <t>开放问题（红标）</t>
  </si>
  <si>
    <t>本轮未定、需你拍板的事项。按对后续细化的影响排序。</t>
  </si>
  <si>
    <t>关联项</t>
  </si>
  <si>
    <t>问题</t>
  </si>
  <si>
    <t>为什么它重要</t>
  </si>
  <si>
    <t>我的倾向（供参考，不代表结论）</t>
  </si>
  <si>
    <t>1</t>
  </si>
  <si>
    <r>
      <rPr>
        <sz val="10"/>
        <rFont val="Arial"/>
        <charset val="1"/>
      </rPr>
      <t xml:space="preserve">S01 </t>
    </r>
    <r>
      <rPr>
        <sz val="10"/>
        <rFont val="Noto Sans CJK SC"/>
        <charset val="134"/>
      </rPr>
      <t>主题锁定</t>
    </r>
  </si>
  <si>
    <t>信息缺失时，是「问」还是「分支」？特别是主题这个字段。</t>
  </si>
  <si>
    <r>
      <rPr>
        <sz val="10"/>
        <rFont val="Noto Sans CJK SC"/>
        <charset val="134"/>
      </rPr>
      <t>问 → 代理人可能压根答不上来（客户不在跟前），一来一回两轮，体验很差。
分支 → 当场有价值，但答案会变长，分支一多就成废话。
【主题尤其微妙】：它是保额分配的排序依据，缺了它排序就没根；可它又恰恰是代理人最答不上来的。它是全集里唯一一个既不能默认、又不能强问的字段。
【新口径下它更重要了】：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>类请求里它全部必跑——评审的第一问是「这方案有主题吗」，比较两案的第一问是「它们是不是同一个主题」。</t>
    </r>
  </si>
  <si>
    <r>
      <rPr>
        <sz val="10"/>
        <rFont val="Arial"/>
        <charset val="1"/>
      </rPr>
      <t xml:space="preserve">P0 </t>
    </r>
    <r>
      <rPr>
        <sz val="10"/>
        <rFont val="Noto Sans CJK SC"/>
        <charset val="134"/>
      </rPr>
      <t>且危险的（体况、存量）→ 必须问，不许猜；策略类的（主题、在意什么）→ 分支输出，让代理人自己认领。
【这个字段的处置方式，会定下整个模块是「问答型」还是「启发型」。】</t>
    </r>
  </si>
  <si>
    <t>2</t>
  </si>
  <si>
    <r>
      <rPr>
        <sz val="10"/>
        <rFont val="Noto Sans CJK SC"/>
        <charset val="134"/>
      </rPr>
      <t xml:space="preserve">★ 分流器 </t>
    </r>
    <r>
      <rPr>
        <sz val="10"/>
        <rFont val="Arial"/>
        <charset val="1"/>
      </rPr>
      <t xml:space="preserve">/ M02 </t>
    </r>
    <r>
      <rPr>
        <sz val="10"/>
        <rFont val="Noto Sans CJK SC"/>
        <charset val="134"/>
      </rPr>
      <t>客户进程</t>
    </r>
  </si>
  <si>
    <t>「面谈前我该注意什么」这一类被删掉了，是有意的吗？</t>
  </si>
  <si>
    <r>
      <rPr>
        <sz val="10"/>
        <rFont val="Noto Sans CJK SC"/>
        <charset val="134"/>
      </rPr>
      <t xml:space="preserve">新口径的 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 xml:space="preserve">类全部以「已有客户信息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已有方案」为前提，但 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客户进程仍保留「还没见过面」这个取值——如果没有面谈前的请求入口，这个取值就没有对应场景。
两种可能：</t>
    </r>
    <r>
      <rPr>
        <sz val="10"/>
        <rFont val="Arial"/>
        <charset val="1"/>
      </rPr>
      <t xml:space="preserve">(a) </t>
    </r>
    <r>
      <rPr>
        <sz val="10"/>
        <rFont val="Noto Sans CJK SC"/>
        <charset val="134"/>
      </rPr>
      <t xml:space="preserve">有意删除，认为面谈前咨询不是本模块的场景（那 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>应删掉「还没见过面」）；</t>
    </r>
    <r>
      <rPr>
        <sz val="10"/>
        <rFont val="Arial"/>
        <charset val="1"/>
      </rPr>
      <t xml:space="preserve">(b) </t>
    </r>
    <r>
      <rPr>
        <sz val="10"/>
        <rFont val="Noto Sans CJK SC"/>
        <charset val="134"/>
      </rPr>
      <t>并入 ⑤「这份方案有什么需要注意的点」（但 ⑤ 以已有方案为前提，面谈前并没有方案）。</t>
    </r>
  </si>
  <si>
    <r>
      <rPr>
        <sz val="10"/>
        <rFont val="Noto Sans CJK SC"/>
        <charset val="134"/>
      </rPr>
      <t xml:space="preserve">倾向 </t>
    </r>
    <r>
      <rPr>
        <sz val="10"/>
        <rFont val="Arial"/>
        <charset val="1"/>
      </rPr>
      <t>(a)</t>
    </r>
    <r>
      <rPr>
        <sz val="10"/>
        <rFont val="Noto Sans CJK SC"/>
        <charset val="134"/>
      </rPr>
      <t xml:space="preserve">：面谈前咨询更像 </t>
    </r>
    <r>
      <rPr>
        <sz val="10"/>
        <rFont val="Arial"/>
        <charset val="1"/>
      </rPr>
      <t xml:space="preserve">stage1 </t>
    </r>
    <r>
      <rPr>
        <sz val="10"/>
        <rFont val="Noto Sans CJK SC"/>
        <charset val="134"/>
      </rPr>
      <t>需求分析的活，不该由方案推荐承接。若如此，</t>
    </r>
    <r>
      <rPr>
        <sz val="10"/>
        <rFont val="Arial"/>
        <charset val="1"/>
      </rPr>
      <t xml:space="preserve">M02 </t>
    </r>
    <r>
      <rPr>
        <sz val="10"/>
        <rFont val="Noto Sans CJK SC"/>
        <charset val="134"/>
      </rPr>
      <t xml:space="preserve">的取值应收敛为：已面谈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方案已做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已讲过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已投保。</t>
    </r>
  </si>
  <si>
    <t>3</t>
  </si>
  <si>
    <r>
      <rPr>
        <b/>
        <sz val="10"/>
        <rFont val="Arial"/>
        <charset val="1"/>
      </rPr>
      <t xml:space="preserve">3-5 </t>
    </r>
    <r>
      <rPr>
        <b/>
        <sz val="10"/>
        <rFont val="Noto Sans CJK SC"/>
        <charset val="134"/>
      </rPr>
      <t>套打法具体是哪几套？各自的默认值清单是什么？</t>
    </r>
  </si>
  <si>
    <t>判型是默认值的唯一来源，工具能力上限 ≈ 判型准确率。而「绩优不设计，他们归类＋微调」这个观察意味着：要抽的可能不是通用推荐算法，而是【几套打法 ＋ 一个归类器】。</t>
  </si>
  <si>
    <r>
      <rPr>
        <sz val="10"/>
        <rFont val="Noto Sans CJK SC"/>
        <charset val="134"/>
      </rPr>
      <t xml:space="preserve">建议优先把打法穷举出来（三口之家标准款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新婚无孩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企业主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高客传承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 xml:space="preserve">老客加保……），比穷举通用算法更有价值。可能是整个模块 </t>
    </r>
    <r>
      <rPr>
        <sz val="10"/>
        <rFont val="Arial"/>
        <charset val="1"/>
      </rPr>
      <t xml:space="preserve">ROI </t>
    </r>
    <r>
      <rPr>
        <sz val="10"/>
        <rFont val="Noto Sans CJK SC"/>
        <charset val="134"/>
      </rPr>
      <t>最高的一件事。</t>
    </r>
  </si>
  <si>
    <t>4</t>
  </si>
  <si>
    <r>
      <rPr>
        <sz val="10"/>
        <rFont val="Noto Sans CJK SC"/>
        <charset val="134"/>
      </rPr>
      <t xml:space="preserve">★ 分流器 </t>
    </r>
    <r>
      <rPr>
        <sz val="10"/>
        <rFont val="Arial"/>
        <charset val="1"/>
      </rPr>
      <t xml:space="preserve">/ </t>
    </r>
    <r>
      <rPr>
        <sz val="10"/>
        <rFont val="Noto Sans CJK SC"/>
        <charset val="134"/>
      </rPr>
      <t>评审四大件</t>
    </r>
  </si>
  <si>
    <r>
      <rPr>
        <b/>
        <sz val="10"/>
        <rFont val="Arial"/>
        <charset val="1"/>
      </rPr>
      <t xml:space="preserve">PoC </t>
    </r>
    <r>
      <rPr>
        <b/>
        <sz val="10"/>
        <rFont val="Noto Sans CJK SC"/>
        <charset val="134"/>
      </rPr>
      <t>是不是应该直接做「②帮我看看这个方案好不好」，而不是「①做个方案」？</t>
    </r>
  </si>
  <si>
    <r>
      <rPr>
        <sz val="10"/>
        <rFont val="Noto Sans CJK SC"/>
        <charset val="134"/>
      </rPr>
      <t>新口径暴露了一个事实：</t>
    </r>
    <r>
      <rPr>
        <sz val="10"/>
        <rFont val="Arial"/>
        <charset val="1"/>
      </rPr>
      <t xml:space="preserve">5 </t>
    </r>
    <r>
      <rPr>
        <sz val="10"/>
        <rFont val="Noto Sans CJK SC"/>
        <charset val="134"/>
      </rPr>
      <t xml:space="preserve">类里 </t>
    </r>
    <r>
      <rPr>
        <sz val="10"/>
        <rFont val="Arial"/>
        <charset val="1"/>
      </rPr>
      <t xml:space="preserve">4 </t>
    </r>
    <r>
      <rPr>
        <sz val="10"/>
        <rFont val="Noto Sans CJK SC"/>
        <charset val="134"/>
      </rPr>
      <t>类是评审。而 ② 有三重优势——代理人有作者身份（工具只体检、不替他决定，风险低）；它把四大件（</t>
    </r>
    <r>
      <rPr>
        <sz val="10"/>
        <rFont val="Arial"/>
        <charset val="1"/>
      </rPr>
      <t>G10/S05/G12/S07</t>
    </r>
    <r>
      <rPr>
        <sz val="10"/>
        <rFont val="Noto Sans CJK SC"/>
        <charset val="134"/>
      </rPr>
      <t xml:space="preserve">）全部激活；不需要 </t>
    </r>
    <r>
      <rPr>
        <sz val="10"/>
        <rFont val="Arial"/>
        <charset val="1"/>
      </rPr>
      <t xml:space="preserve">G06 </t>
    </r>
    <r>
      <rPr>
        <sz val="10"/>
        <rFont val="Noto Sans CJK SC"/>
        <charset val="134"/>
      </rPr>
      <t>报价接口也能跑（评审不必算精确保费）。
反过来，① 做设计依赖报价接口、依赖判型准确率、且工具替代理人做的判断最多，风险最高。</t>
    </r>
  </si>
  <si>
    <r>
      <rPr>
        <sz val="10"/>
        <rFont val="Noto Sans CJK SC"/>
        <charset val="134"/>
      </rPr>
      <t>倾向：</t>
    </r>
    <r>
      <rPr>
        <sz val="10"/>
        <rFont val="Arial"/>
        <charset val="1"/>
      </rPr>
      <t xml:space="preserve">PoC </t>
    </r>
    <r>
      <rPr>
        <sz val="10"/>
        <rFont val="Noto Sans CJK SC"/>
        <charset val="134"/>
      </rPr>
      <t xml:space="preserve">首发做 ②，① 放到第二阶段。这也顺带绕开了 </t>
    </r>
    <r>
      <rPr>
        <sz val="10"/>
        <rFont val="Arial"/>
        <charset val="1"/>
      </rPr>
      <t xml:space="preserve">G06 </t>
    </r>
    <r>
      <rPr>
        <sz val="10"/>
        <rFont val="Noto Sans CJK SC"/>
        <charset val="134"/>
      </rPr>
      <t>接口这个卡点。</t>
    </r>
  </si>
  <si>
    <t>5</t>
  </si>
  <si>
    <r>
      <rPr>
        <sz val="10"/>
        <rFont val="Arial"/>
        <charset val="1"/>
      </rPr>
      <t xml:space="preserve">G06 </t>
    </r>
    <r>
      <rPr>
        <sz val="10"/>
        <rFont val="Noto Sans CJK SC"/>
        <charset val="134"/>
      </rPr>
      <t>保费试算</t>
    </r>
  </si>
  <si>
    <r>
      <rPr>
        <b/>
        <sz val="10"/>
        <rFont val="Noto Sans CJK SC"/>
        <charset val="134"/>
      </rPr>
      <t>有没有可调的报价</t>
    </r>
    <r>
      <rPr>
        <b/>
        <sz val="10"/>
        <rFont val="Arial"/>
        <charset val="1"/>
      </rPr>
      <t>/</t>
    </r>
    <r>
      <rPr>
        <b/>
        <sz val="10"/>
        <rFont val="Noto Sans CJK SC"/>
        <charset val="134"/>
      </rPr>
      <t>费率接口？</t>
    </r>
  </si>
  <si>
    <r>
      <rPr>
        <sz val="10"/>
        <rFont val="Noto Sans CJK SC"/>
        <charset val="134"/>
      </rPr>
      <t>没有的话，反向试算只能给量级估算，</t>
    </r>
    <r>
      <rPr>
        <sz val="10"/>
        <rFont val="Arial"/>
        <charset val="1"/>
      </rPr>
      <t>S03</t>
    </r>
    <r>
      <rPr>
        <sz val="10"/>
        <rFont val="Noto Sans CJK SC"/>
        <charset val="134"/>
      </rPr>
      <t xml:space="preserve">「卖多少」的精度整体下降一档，且必须在假设账本里体现。费率绝不能靠模型记忆——「假精确」比「不给」更危险。
注：若 </t>
    </r>
    <r>
      <rPr>
        <sz val="10"/>
        <rFont val="Arial"/>
        <charset val="1"/>
      </rPr>
      <t xml:space="preserve">PoC </t>
    </r>
    <r>
      <rPr>
        <sz val="10"/>
        <rFont val="Noto Sans CJK SC"/>
        <charset val="134"/>
      </rPr>
      <t xml:space="preserve">走评审路线（见 </t>
    </r>
    <r>
      <rPr>
        <sz val="10"/>
        <rFont val="Arial"/>
        <charset val="1"/>
      </rPr>
      <t>#4</t>
    </r>
    <r>
      <rPr>
        <sz val="10"/>
        <rFont val="Noto Sans CJK SC"/>
        <charset val="134"/>
      </rPr>
      <t>），这个卡点可以延后。</t>
    </r>
  </si>
  <si>
    <t>必须争取接口。性质和检视模块那个黑箱工具相同：是固定约束，不是灵活输入。</t>
  </si>
  <si>
    <t>6</t>
  </si>
  <si>
    <r>
      <rPr>
        <sz val="10"/>
        <rFont val="Arial"/>
        <charset val="1"/>
      </rPr>
      <t>S05 / S07 / ③</t>
    </r>
    <r>
      <rPr>
        <sz val="10"/>
        <rFont val="Noto Sans CJK SC"/>
        <charset val="134"/>
      </rPr>
      <t>类请求</t>
    </r>
  </si>
  <si>
    <r>
      <rPr>
        <b/>
        <sz val="10"/>
        <rFont val="Arial"/>
        <charset val="1"/>
      </rPr>
      <t xml:space="preserve">stage3 </t>
    </r>
    <r>
      <rPr>
        <b/>
        <sz val="10"/>
        <rFont val="Noto Sans CJK SC"/>
        <charset val="134"/>
      </rPr>
      <t xml:space="preserve">与 </t>
    </r>
    <r>
      <rPr>
        <b/>
        <sz val="10"/>
        <rFont val="Arial"/>
        <charset val="1"/>
      </rPr>
      <t xml:space="preserve">stage4 </t>
    </r>
    <r>
      <rPr>
        <b/>
        <sz val="10"/>
        <rFont val="Noto Sans CJK SC"/>
        <charset val="134"/>
      </rPr>
      <t>的边界到底划在哪？</t>
    </r>
  </si>
  <si>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 xml:space="preserve">反向压测要求【讲解的预演是设计的输入】，所以不能简单把「讲解」整个划给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>。而新口径把 ③「该怎么给李平安讲解这个方案」明确标为「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>，但会掉落进来」——承认了它会掉进来，但没说掉进来之后怎么办。</t>
    </r>
  </si>
  <si>
    <r>
      <rPr>
        <sz val="10"/>
        <rFont val="Noto Sans CJK SC"/>
        <charset val="134"/>
      </rPr>
      <t xml:space="preserve">边界：讲解的【预演】归 </t>
    </r>
    <r>
      <rPr>
        <sz val="10"/>
        <rFont val="Arial"/>
        <charset val="1"/>
      </rPr>
      <t>stage3</t>
    </r>
    <r>
      <rPr>
        <sz val="10"/>
        <rFont val="Noto Sans CJK SC"/>
        <charset val="134"/>
      </rPr>
      <t xml:space="preserve">（它是设计输入），讲解的【执行】归 </t>
    </r>
    <r>
      <rPr>
        <sz val="10"/>
        <rFont val="Arial"/>
        <charset val="1"/>
      </rPr>
      <t>stage4</t>
    </r>
    <r>
      <rPr>
        <sz val="10"/>
        <rFont val="Noto Sans CJK SC"/>
        <charset val="134"/>
      </rPr>
      <t xml:space="preserve">。
③ 掉进来时的处理：先用 </t>
    </r>
    <r>
      <rPr>
        <sz val="10"/>
        <rFont val="Arial"/>
        <charset val="1"/>
      </rPr>
      <t xml:space="preserve">S05 </t>
    </r>
    <r>
      <rPr>
        <sz val="10"/>
        <rFont val="Noto Sans CJK SC"/>
        <charset val="134"/>
      </rPr>
      <t>回退检查设计（「讲不出」的根因常常是「设计没打中主题」），给论点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论据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论证骨架，然后转 </t>
    </r>
    <r>
      <rPr>
        <sz val="10"/>
        <rFont val="Arial"/>
        <charset val="1"/>
      </rPr>
      <t xml:space="preserve">stage4 </t>
    </r>
    <r>
      <rPr>
        <sz val="10"/>
        <rFont val="Noto Sans CJK SC"/>
        <charset val="134"/>
      </rPr>
      <t>出话术。</t>
    </r>
  </si>
  <si>
    <t>7</t>
  </si>
  <si>
    <r>
      <rPr>
        <sz val="10"/>
        <rFont val="Arial"/>
        <charset val="1"/>
      </rPr>
      <t xml:space="preserve">G02 </t>
    </r>
    <r>
      <rPr>
        <sz val="10"/>
        <rFont val="Noto Sans CJK SC"/>
        <charset val="134"/>
      </rPr>
      <t>存量处置</t>
    </r>
  </si>
  <si>
    <t>替换判定的规则边界？</t>
  </si>
  <si>
    <t>什么情况下建议替换、什么情况下只补差额、什么情况下明确不动存量。这是老客加保的主战场，但规则未定。且检视工具只返回聚合值，拿不到单张保单明细——工具能判「总量够不够」，判不了「哪张该换」。</t>
  </si>
  <si>
    <r>
      <rPr>
        <sz val="10"/>
        <rFont val="Noto Sans CJK SC"/>
        <charset val="134"/>
      </rPr>
      <t xml:space="preserve">需要单独一张 </t>
    </r>
    <r>
      <rPr>
        <sz val="10"/>
        <rFont val="Arial"/>
        <charset val="1"/>
      </rPr>
      <t xml:space="preserve">if-then </t>
    </r>
    <r>
      <rPr>
        <sz val="10"/>
        <rFont val="Noto Sans CJK SC"/>
        <charset val="134"/>
      </rPr>
      <t>表。默认不退保重买，替换须算沉没成本。</t>
    </r>
  </si>
  <si>
    <t>8</t>
  </si>
  <si>
    <r>
      <rPr>
        <sz val="10"/>
        <rFont val="Arial"/>
        <charset val="1"/>
      </rPr>
      <t xml:space="preserve">S10 </t>
    </r>
    <r>
      <rPr>
        <sz val="10"/>
        <rFont val="Noto Sans CJK SC"/>
        <charset val="134"/>
      </rPr>
      <t>时机</t>
    </r>
  </si>
  <si>
    <r>
      <rPr>
        <b/>
        <sz val="10"/>
        <rFont val="Noto Sans CJK SC"/>
        <charset val="134"/>
      </rPr>
      <t xml:space="preserve">产品迭代 </t>
    </r>
    <r>
      <rPr>
        <b/>
        <sz val="10"/>
        <rFont val="Arial"/>
        <charset val="1"/>
      </rPr>
      <t xml:space="preserve">/ </t>
    </r>
    <r>
      <rPr>
        <b/>
        <sz val="10"/>
        <rFont val="Noto Sans CJK SC"/>
        <charset val="134"/>
      </rPr>
      <t>预定利率类信息，工具能不能提？怎么提才不构成炒停售？</t>
    </r>
  </si>
  <si>
    <t>这是客观存在的信息，但一旦被用作紧迫性来源就跨过合规红线。灰色地带很宽。</t>
  </si>
  <si>
    <t>建议默认全部屏蔽，只给年龄跳档＋等待期＋健康窗口三类纯事实。需合规条线拍板。</t>
  </si>
  <si>
    <t>9</t>
  </si>
  <si>
    <r>
      <rPr>
        <sz val="10"/>
        <rFont val="Arial"/>
        <charset val="1"/>
      </rPr>
      <t xml:space="preserve">G09 </t>
    </r>
    <r>
      <rPr>
        <sz val="10"/>
        <rFont val="Noto Sans CJK SC"/>
        <charset val="134"/>
      </rPr>
      <t>高客架构</t>
    </r>
  </si>
  <si>
    <r>
      <rPr>
        <b/>
        <sz val="10"/>
        <rFont val="Noto Sans CJK SC"/>
        <charset val="134"/>
      </rPr>
      <t xml:space="preserve">完整 </t>
    </r>
    <r>
      <rPr>
        <b/>
        <sz val="10"/>
        <rFont val="Arial"/>
        <charset val="1"/>
      </rPr>
      <t xml:space="preserve">if-then </t>
    </r>
    <r>
      <rPr>
        <b/>
        <sz val="10"/>
        <rFont val="Noto Sans CJK SC"/>
        <charset val="134"/>
      </rPr>
      <t>何时做？法务何时介入？</t>
    </r>
  </si>
  <si>
    <t>保单模式选择、信托对接判定、隔代传承设计——本轮只立了骨架。且此处法律表述风险高（如债务隔离并非绝对）。</t>
  </si>
  <si>
    <r>
      <rPr>
        <sz val="10"/>
        <rFont val="Noto Sans CJK SC"/>
        <charset val="134"/>
      </rPr>
      <t>另开专题。</t>
    </r>
    <r>
      <rPr>
        <sz val="10"/>
        <rFont val="Arial"/>
        <charset val="1"/>
      </rPr>
      <t xml:space="preserve">Knowledge </t>
    </r>
    <r>
      <rPr>
        <sz val="10"/>
        <rFont val="Noto Sans CJK SC"/>
        <charset val="134"/>
      </rPr>
      <t>需法务过一遍再上线。</t>
    </r>
  </si>
  <si>
    <t>10</t>
  </si>
  <si>
    <r>
      <rPr>
        <sz val="10"/>
        <rFont val="Arial"/>
        <charset val="1"/>
      </rPr>
      <t xml:space="preserve">G12 </t>
    </r>
    <r>
      <rPr>
        <sz val="10"/>
        <rFont val="Noto Sans CJK SC"/>
        <charset val="134"/>
      </rPr>
      <t>适当性</t>
    </r>
  </si>
  <si>
    <t>在工具形态下，「不建议购买」怎么呈现才不至于让代理人直接忽略？</t>
  </si>
  <si>
    <t>工具挡不了交易（交易在核心系统），所以它只能是提示。但如果做成一句免责小字，等于没做。</t>
  </si>
  <si>
    <t>做成与答案并列的一块（和假设账本同级），并明确告知「这个组合会在系统里被拦，客户坚持须签警示确认书」——用「你会白跑一趟」而不是「这不合规」来说服代理人。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</si>
</sst>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Calibri"/>
      <charset val="1"/>
    </font>
    <font>
      <b/>
      <sz val="14"/>
      <color rgb="FF1F3864"/>
      <name val="Noto Sans CJK SC"/>
      <charset val="134"/>
    </font>
    <font>
      <i/>
      <sz val="10"/>
      <color rgb="FF595959"/>
      <name val="Noto Sans CJK SC"/>
      <charset val="134"/>
    </font>
    <font>
      <b/>
      <sz val="10"/>
      <color rgb="FFFFFFFF"/>
      <name val="Arial"/>
      <charset val="1"/>
    </font>
    <font>
      <b/>
      <sz val="10"/>
      <color rgb="FFFFFFFF"/>
      <name val="Noto Sans CJK SC"/>
      <charset val="134"/>
    </font>
    <font>
      <b/>
      <sz val="10"/>
      <name val="Arial"/>
      <charset val="1"/>
    </font>
    <font>
      <sz val="10"/>
      <name val="Arial"/>
      <charset val="1"/>
    </font>
    <font>
      <b/>
      <sz val="10"/>
      <name val="Noto Sans CJK SC"/>
      <charset val="134"/>
    </font>
    <font>
      <sz val="10"/>
      <name val="Noto Sans CJK SC"/>
      <charset val="134"/>
    </font>
    <font>
      <i/>
      <sz val="10"/>
      <color rgb="FF595959"/>
      <name val="Arial"/>
      <charset val="1"/>
    </font>
    <font>
      <b/>
      <sz val="10"/>
      <name val="宋体"/>
      <charset val="1"/>
    </font>
    <font>
      <sz val="10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1F3864"/>
      <name val="Arial"/>
      <charset val="1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EEAF6"/>
      </patternFill>
    </fill>
    <fill>
      <patternFill patternType="solid">
        <fgColor rgb="FFFFF2CC"/>
        <bgColor rgb="FFFCE4D6"/>
      </patternFill>
    </fill>
    <fill>
      <patternFill patternType="solid">
        <fgColor rgb="FFDEEAF6"/>
        <bgColor rgb="FFD6E4F0"/>
      </patternFill>
    </fill>
    <fill>
      <patternFill patternType="solid">
        <fgColor rgb="FFE2EFDA"/>
        <bgColor rgb="FFDEEAF6"/>
      </patternFill>
    </fill>
    <fill>
      <patternFill patternType="solid">
        <fgColor rgb="FFF8CBAD"/>
        <bgColor rgb="FFFFC7CE"/>
      </patternFill>
    </fill>
    <fill>
      <patternFill patternType="solid">
        <fgColor rgb="FFD9D2E9"/>
        <bgColor rgb="FFD9D9D9"/>
      </patternFill>
    </fill>
    <fill>
      <patternFill patternType="solid">
        <fgColor rgb="FFD9D9D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7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0" borderId="0" xfId="0" applyFont="1" applyBorder="1"/>
    <xf numFmtId="0" fontId="8" fillId="0" borderId="0" xfId="0" applyFont="1" applyBorder="1" applyAlignment="1">
      <alignment vertical="top" wrapText="1"/>
    </xf>
    <xf numFmtId="0" fontId="0" fillId="0" borderId="0" xfId="0" applyBorder="1"/>
    <xf numFmtId="0" fontId="6" fillId="0" borderId="0" xfId="0" applyFont="1" applyBorder="1" applyAlignment="1">
      <alignment vertical="top" wrapText="1"/>
    </xf>
    <xf numFmtId="0" fontId="7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11" borderId="1" xfId="0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7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EEAF6"/>
      <rgbColor rgb="00660066"/>
      <rgbColor rgb="00FF8080"/>
      <rgbColor rgb="000066CC"/>
      <rgbColor rgb="00D9D2E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EB9C"/>
      <rgbColor rgb="00D9D9D9"/>
      <rgbColor rgb="00FFC7CE"/>
      <rgbColor rgb="00FCE4D6"/>
      <rgbColor rgb="00F8CBAD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showGridLines="0" topLeftCell="A3" workbookViewId="0">
      <selection activeCell="B15" sqref="B15"/>
    </sheetView>
  </sheetViews>
  <sheetFormatPr defaultColWidth="8.68141592920354" defaultRowHeight="14.25" outlineLevelCol="1"/>
  <cols>
    <col min="1" max="1" width="30" style="31" customWidth="1"/>
    <col min="2" max="2" width="112" style="31" customWidth="1"/>
    <col min="3" max="16384" width="8.68141592920354" style="31"/>
  </cols>
  <sheetData>
    <row r="1" ht="17.6" spans="1:2">
      <c r="A1" s="56" t="s">
        <v>0</v>
      </c>
      <c r="B1" s="56"/>
    </row>
    <row r="2" spans="1:2">
      <c r="A2" s="57" t="s">
        <v>1</v>
      </c>
      <c r="B2" s="57"/>
    </row>
    <row r="3" ht="25.5" spans="1:2">
      <c r="A3" s="58" t="s">
        <v>2</v>
      </c>
      <c r="B3" s="59" t="s">
        <v>3</v>
      </c>
    </row>
    <row r="4" spans="1:2">
      <c r="A4" s="58"/>
      <c r="B4" s="59" t="s">
        <v>4</v>
      </c>
    </row>
    <row r="5" spans="1:2">
      <c r="A5" s="58" t="s">
        <v>5</v>
      </c>
      <c r="B5" s="59" t="s">
        <v>6</v>
      </c>
    </row>
    <row r="6" spans="1:2">
      <c r="A6" s="58"/>
      <c r="B6" s="59" t="s">
        <v>7</v>
      </c>
    </row>
    <row r="7" spans="1:2">
      <c r="A7" s="58"/>
      <c r="B7" s="59" t="s">
        <v>8</v>
      </c>
    </row>
    <row r="8" spans="1:2">
      <c r="A8" s="58"/>
      <c r="B8" s="59" t="s">
        <v>9</v>
      </c>
    </row>
    <row r="9" spans="1:2">
      <c r="A9" s="58"/>
      <c r="B9" s="59" t="s">
        <v>10</v>
      </c>
    </row>
    <row r="10" spans="1:2">
      <c r="A10" s="58" t="s">
        <v>11</v>
      </c>
      <c r="B10" s="59" t="s">
        <v>12</v>
      </c>
    </row>
    <row r="11" spans="1:2">
      <c r="A11" s="58"/>
      <c r="B11" s="60" t="s">
        <v>13</v>
      </c>
    </row>
    <row r="12" ht="25.5" spans="1:2">
      <c r="A12" s="61" t="s">
        <v>14</v>
      </c>
      <c r="B12" s="59" t="s">
        <v>15</v>
      </c>
    </row>
    <row r="13" spans="1:2">
      <c r="A13" s="61" t="s">
        <v>16</v>
      </c>
      <c r="B13" s="59" t="s">
        <v>17</v>
      </c>
    </row>
    <row r="15" spans="1:2">
      <c r="A15" s="62"/>
    </row>
    <row r="16" spans="1:2">
      <c r="A16" s="63" t="s">
        <v>18</v>
      </c>
    </row>
    <row r="17" spans="1:2">
      <c r="A17" s="40" t="s">
        <v>19</v>
      </c>
      <c r="B17" s="62"/>
    </row>
    <row r="18" spans="1:2">
      <c r="A18" s="64" t="s">
        <v>20</v>
      </c>
      <c r="B18" s="65" t="s">
        <v>21</v>
      </c>
    </row>
    <row r="19" spans="1:2">
      <c r="A19" s="66" t="s">
        <v>22</v>
      </c>
      <c r="B19" s="65" t="s">
        <v>23</v>
      </c>
    </row>
    <row r="20" spans="1:2">
      <c r="A20" s="67" t="s">
        <v>24</v>
      </c>
      <c r="B20" s="65" t="s">
        <v>25</v>
      </c>
    </row>
    <row r="21" spans="1:2">
      <c r="A21" s="68" t="s">
        <v>26</v>
      </c>
      <c r="B21" s="65" t="s">
        <v>27</v>
      </c>
    </row>
    <row r="22" spans="1:2">
      <c r="A22" s="69" t="s">
        <v>28</v>
      </c>
      <c r="B22" s="65" t="s">
        <v>29</v>
      </c>
    </row>
    <row r="23" spans="1:2">
      <c r="A23" s="40"/>
      <c r="B23" s="62"/>
    </row>
    <row r="24" spans="1:2">
      <c r="A24" s="40" t="s">
        <v>30</v>
      </c>
      <c r="B24" s="62"/>
    </row>
    <row r="25" spans="1:2">
      <c r="A25" s="70" t="s">
        <v>31</v>
      </c>
      <c r="B25" s="65" t="s">
        <v>32</v>
      </c>
    </row>
    <row r="26" spans="1:2">
      <c r="A26" s="71" t="s">
        <v>33</v>
      </c>
      <c r="B26" s="65" t="s">
        <v>34</v>
      </c>
    </row>
    <row r="27" spans="1:2">
      <c r="A27" s="72" t="s">
        <v>35</v>
      </c>
      <c r="B27" s="65" t="s">
        <v>36</v>
      </c>
    </row>
    <row r="28" spans="1:2">
      <c r="A28" s="40"/>
      <c r="B28" s="62"/>
    </row>
    <row r="29" spans="1:2">
      <c r="A29" s="73" t="s">
        <v>37</v>
      </c>
      <c r="B29" s="65" t="s">
        <v>38</v>
      </c>
    </row>
    <row r="31" spans="1:2">
      <c r="A31" s="74" t="s">
        <v>39</v>
      </c>
    </row>
    <row r="32" spans="1:2">
      <c r="A32" s="75" t="s">
        <v>40</v>
      </c>
      <c r="B32" s="76">
        <f>COUNTIF(全集总表!C:C,"接头")</f>
        <v>1</v>
      </c>
    </row>
    <row r="33" spans="1:2">
      <c r="A33" s="75" t="s">
        <v>24</v>
      </c>
      <c r="B33" s="76">
        <f>COUNTIF(全集总表!C:C,"销售策略")</f>
        <v>9</v>
      </c>
    </row>
    <row r="34" spans="1:2">
      <c r="A34" s="75" t="s">
        <v>26</v>
      </c>
      <c r="B34" s="76">
        <f>COUNTIF(全集总表!C:C,"保险规划")</f>
        <v>12</v>
      </c>
    </row>
    <row r="35" spans="1:2">
      <c r="A35" s="75" t="s">
        <v>28</v>
      </c>
      <c r="B35" s="76">
        <f>COUNTIF(全集总表!C:C,"元层")</f>
        <v>4</v>
      </c>
    </row>
    <row r="36" spans="1:2">
      <c r="A36" s="75" t="s">
        <v>41</v>
      </c>
      <c r="B36" s="76">
        <f>COUNTIF(全集总表!C:C,"接头")+COUNTIF(全集总表!C:C,"销售策略")+COUNTIF(全集总表!C:C,"保险规划")+COUNTIF(全集总表!C:C,"元层")</f>
        <v>26</v>
      </c>
    </row>
    <row r="37" spans="1:2">
      <c r="A37" s="75" t="s">
        <v>42</v>
      </c>
      <c r="B37" s="76">
        <f>COUNTIF(全集总表!C:C,"分流器")</f>
        <v>1</v>
      </c>
    </row>
    <row r="38" spans="1:2">
      <c r="A38" s="75" t="s">
        <v>43</v>
      </c>
      <c r="B38" s="76">
        <f>COUNTIF(全集总表!N:N,"是")</f>
        <v>5</v>
      </c>
    </row>
  </sheetData>
  <mergeCells count="5">
    <mergeCell ref="A1:B1"/>
    <mergeCell ref="A2:B2"/>
    <mergeCell ref="A3:A4"/>
    <mergeCell ref="A5:A9"/>
    <mergeCell ref="A10:A1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D2" sqref="D2"/>
    </sheetView>
  </sheetViews>
  <sheetFormatPr defaultColWidth="8.68141592920354" defaultRowHeight="14.25"/>
  <cols>
    <col min="1" max="1" width="7" style="31" customWidth="1"/>
    <col min="2" max="2" width="13" style="41" customWidth="1"/>
    <col min="3" max="3" width="10" style="41" customWidth="1"/>
    <col min="4" max="4" width="16" style="41" customWidth="1"/>
    <col min="5" max="5" width="30" style="31" customWidth="1"/>
    <col min="6" max="6" width="66" style="31" customWidth="1"/>
    <col min="7" max="7" width="60" style="31" customWidth="1"/>
    <col min="8" max="8" width="8" style="31" customWidth="1"/>
    <col min="9" max="9" width="30" style="31" customWidth="1"/>
    <col min="10" max="10" width="12" style="31" customWidth="1"/>
    <col min="11" max="11" width="30" style="31" customWidth="1"/>
    <col min="12" max="12" width="22" style="31" customWidth="1"/>
    <col min="13" max="13" width="34" style="31" customWidth="1"/>
    <col min="14" max="14" width="7" style="31" customWidth="1"/>
    <col min="15" max="15" width="40" style="31" customWidth="1"/>
    <col min="16" max="16" width="16" style="31" customWidth="1"/>
    <col min="17" max="17" width="26" style="41" customWidth="1"/>
    <col min="18" max="18" width="38" style="31" customWidth="1"/>
    <col min="19" max="16384" width="8.68141592920354" style="31"/>
  </cols>
  <sheetData>
    <row r="1" ht="33.75" customHeight="1" spans="1:18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37</v>
      </c>
      <c r="O1" s="4" t="s">
        <v>57</v>
      </c>
      <c r="P1" s="4" t="s">
        <v>58</v>
      </c>
      <c r="Q1" s="3" t="s">
        <v>59</v>
      </c>
      <c r="R1" s="4" t="s">
        <v>60</v>
      </c>
    </row>
    <row r="2" ht="216.75" spans="1:18">
      <c r="A2" s="42" t="s">
        <v>61</v>
      </c>
      <c r="B2" s="43" t="s">
        <v>62</v>
      </c>
      <c r="C2" s="44" t="s">
        <v>63</v>
      </c>
      <c r="D2" s="45" t="s">
        <v>64</v>
      </c>
      <c r="E2" s="35" t="s">
        <v>65</v>
      </c>
      <c r="F2" s="35" t="s">
        <v>66</v>
      </c>
      <c r="G2" s="35" t="s">
        <v>67</v>
      </c>
      <c r="H2" s="46" t="s">
        <v>33</v>
      </c>
      <c r="I2" s="35" t="s">
        <v>68</v>
      </c>
      <c r="J2" s="43" t="s">
        <v>69</v>
      </c>
      <c r="K2" s="35" t="s">
        <v>70</v>
      </c>
      <c r="L2" s="35" t="s">
        <v>71</v>
      </c>
      <c r="M2" s="35" t="s">
        <v>72</v>
      </c>
      <c r="N2" s="43"/>
      <c r="O2" s="35"/>
      <c r="P2" s="43" t="s">
        <v>73</v>
      </c>
      <c r="Q2" s="19" t="s">
        <v>74</v>
      </c>
      <c r="R2" s="35" t="s">
        <v>75</v>
      </c>
    </row>
    <row r="3" ht="242.25" spans="1:18">
      <c r="A3" s="47" t="s">
        <v>76</v>
      </c>
      <c r="B3" s="43" t="s">
        <v>77</v>
      </c>
      <c r="C3" s="48" t="s">
        <v>40</v>
      </c>
      <c r="D3" s="45" t="s">
        <v>78</v>
      </c>
      <c r="E3" s="35" t="s">
        <v>79</v>
      </c>
      <c r="F3" s="49" t="s">
        <v>80</v>
      </c>
      <c r="G3" s="35" t="s">
        <v>81</v>
      </c>
      <c r="H3" s="50" t="s">
        <v>35</v>
      </c>
      <c r="I3" s="35" t="s">
        <v>82</v>
      </c>
      <c r="J3" s="43" t="s">
        <v>83</v>
      </c>
      <c r="K3" s="35" t="s">
        <v>84</v>
      </c>
      <c r="L3" s="35" t="s">
        <v>85</v>
      </c>
      <c r="M3" s="35" t="s">
        <v>86</v>
      </c>
      <c r="N3" s="27" t="s">
        <v>87</v>
      </c>
      <c r="O3" s="35" t="s">
        <v>88</v>
      </c>
      <c r="P3" s="43" t="s">
        <v>89</v>
      </c>
      <c r="Q3" s="19" t="s">
        <v>74</v>
      </c>
      <c r="R3" s="35" t="s">
        <v>90</v>
      </c>
    </row>
    <row r="4" ht="204" spans="1:18">
      <c r="A4" s="47" t="s">
        <v>91</v>
      </c>
      <c r="B4" s="43" t="s">
        <v>24</v>
      </c>
      <c r="C4" s="51" t="s">
        <v>24</v>
      </c>
      <c r="D4" s="45" t="s">
        <v>92</v>
      </c>
      <c r="E4" s="35" t="s">
        <v>93</v>
      </c>
      <c r="F4" s="35" t="s">
        <v>94</v>
      </c>
      <c r="G4" s="35" t="s">
        <v>95</v>
      </c>
      <c r="H4" s="46" t="s">
        <v>33</v>
      </c>
      <c r="I4" s="35" t="s">
        <v>96</v>
      </c>
      <c r="J4" s="43" t="s">
        <v>97</v>
      </c>
      <c r="K4" s="35" t="s">
        <v>98</v>
      </c>
      <c r="L4" s="35" t="s">
        <v>99</v>
      </c>
      <c r="M4" s="35" t="s">
        <v>100</v>
      </c>
      <c r="N4" s="43"/>
      <c r="O4" s="38"/>
      <c r="P4" s="43" t="s">
        <v>89</v>
      </c>
      <c r="Q4" s="19" t="s">
        <v>101</v>
      </c>
      <c r="R4" s="35" t="s">
        <v>102</v>
      </c>
    </row>
    <row r="5" ht="242.25" spans="1:18">
      <c r="A5" s="47" t="s">
        <v>103</v>
      </c>
      <c r="B5" s="43" t="s">
        <v>24</v>
      </c>
      <c r="C5" s="51" t="s">
        <v>24</v>
      </c>
      <c r="D5" s="45" t="s">
        <v>104</v>
      </c>
      <c r="E5" s="35" t="s">
        <v>105</v>
      </c>
      <c r="F5" s="35" t="s">
        <v>106</v>
      </c>
      <c r="G5" s="35" t="s">
        <v>107</v>
      </c>
      <c r="H5" s="46" t="s">
        <v>33</v>
      </c>
      <c r="I5" s="35" t="s">
        <v>108</v>
      </c>
      <c r="J5" s="43" t="s">
        <v>97</v>
      </c>
      <c r="K5" s="35" t="s">
        <v>109</v>
      </c>
      <c r="L5" s="38" t="s">
        <v>110</v>
      </c>
      <c r="M5" s="35" t="s">
        <v>111</v>
      </c>
      <c r="N5" s="27" t="s">
        <v>87</v>
      </c>
      <c r="O5" s="35" t="s">
        <v>112</v>
      </c>
      <c r="P5" s="43" t="s">
        <v>113</v>
      </c>
      <c r="Q5" s="19" t="s">
        <v>74</v>
      </c>
      <c r="R5" s="35" t="s">
        <v>114</v>
      </c>
    </row>
    <row r="6" ht="178.5" spans="1:18">
      <c r="A6" s="47" t="s">
        <v>115</v>
      </c>
      <c r="B6" s="43" t="s">
        <v>24</v>
      </c>
      <c r="C6" s="51" t="s">
        <v>24</v>
      </c>
      <c r="D6" s="45" t="s">
        <v>116</v>
      </c>
      <c r="E6" s="35" t="s">
        <v>117</v>
      </c>
      <c r="F6" s="35" t="s">
        <v>118</v>
      </c>
      <c r="G6" s="35" t="s">
        <v>119</v>
      </c>
      <c r="H6" s="46" t="s">
        <v>33</v>
      </c>
      <c r="I6" s="35" t="s">
        <v>120</v>
      </c>
      <c r="J6" s="43" t="s">
        <v>121</v>
      </c>
      <c r="K6" s="35" t="s">
        <v>122</v>
      </c>
      <c r="L6" s="35" t="s">
        <v>123</v>
      </c>
      <c r="M6" s="35" t="s">
        <v>124</v>
      </c>
      <c r="N6" s="43"/>
      <c r="O6" s="38"/>
      <c r="P6" s="43" t="s">
        <v>89</v>
      </c>
      <c r="Q6" s="19" t="s">
        <v>74</v>
      </c>
      <c r="R6" s="35" t="s">
        <v>125</v>
      </c>
    </row>
    <row r="7" ht="178.5" spans="1:18">
      <c r="A7" s="47" t="s">
        <v>126</v>
      </c>
      <c r="B7" s="43" t="s">
        <v>24</v>
      </c>
      <c r="C7" s="51" t="s">
        <v>24</v>
      </c>
      <c r="D7" s="45" t="s">
        <v>127</v>
      </c>
      <c r="E7" s="35" t="s">
        <v>128</v>
      </c>
      <c r="F7" s="35" t="s">
        <v>129</v>
      </c>
      <c r="G7" s="35" t="s">
        <v>130</v>
      </c>
      <c r="H7" s="46" t="s">
        <v>33</v>
      </c>
      <c r="I7" s="35" t="s">
        <v>131</v>
      </c>
      <c r="J7" s="43" t="s">
        <v>132</v>
      </c>
      <c r="K7" s="35" t="s">
        <v>133</v>
      </c>
      <c r="L7" s="38" t="s">
        <v>134</v>
      </c>
      <c r="M7" s="35" t="s">
        <v>135</v>
      </c>
      <c r="N7" s="43"/>
      <c r="O7" s="38"/>
      <c r="P7" s="43" t="s">
        <v>136</v>
      </c>
      <c r="Q7" s="19" t="s">
        <v>74</v>
      </c>
      <c r="R7" s="35" t="s">
        <v>137</v>
      </c>
    </row>
    <row r="8" ht="165.75" spans="1:18">
      <c r="A8" s="47" t="s">
        <v>138</v>
      </c>
      <c r="B8" s="43" t="s">
        <v>24</v>
      </c>
      <c r="C8" s="51" t="s">
        <v>24</v>
      </c>
      <c r="D8" s="45" t="s">
        <v>139</v>
      </c>
      <c r="E8" s="35" t="s">
        <v>140</v>
      </c>
      <c r="F8" s="35" t="s">
        <v>141</v>
      </c>
      <c r="G8" s="35" t="s">
        <v>142</v>
      </c>
      <c r="H8" s="46" t="s">
        <v>33</v>
      </c>
      <c r="I8" s="35" t="s">
        <v>143</v>
      </c>
      <c r="J8" s="43" t="s">
        <v>144</v>
      </c>
      <c r="K8" s="35" t="s">
        <v>145</v>
      </c>
      <c r="L8" s="38" t="s">
        <v>146</v>
      </c>
      <c r="M8" s="38" t="s">
        <v>147</v>
      </c>
      <c r="N8" s="27" t="s">
        <v>87</v>
      </c>
      <c r="O8" s="35" t="s">
        <v>148</v>
      </c>
      <c r="P8" s="43" t="s">
        <v>113</v>
      </c>
      <c r="Q8" s="19" t="s">
        <v>74</v>
      </c>
      <c r="R8" s="35" t="s">
        <v>149</v>
      </c>
    </row>
    <row r="9" ht="242.25" spans="1:18">
      <c r="A9" s="47" t="s">
        <v>150</v>
      </c>
      <c r="B9" s="43" t="s">
        <v>24</v>
      </c>
      <c r="C9" s="51" t="s">
        <v>24</v>
      </c>
      <c r="D9" s="45" t="s">
        <v>151</v>
      </c>
      <c r="E9" s="35" t="s">
        <v>152</v>
      </c>
      <c r="F9" s="35" t="s">
        <v>153</v>
      </c>
      <c r="G9" s="35" t="s">
        <v>154</v>
      </c>
      <c r="H9" s="46" t="s">
        <v>33</v>
      </c>
      <c r="I9" s="35" t="s">
        <v>155</v>
      </c>
      <c r="J9" s="43" t="s">
        <v>156</v>
      </c>
      <c r="K9" s="35" t="s">
        <v>157</v>
      </c>
      <c r="L9" s="35" t="s">
        <v>158</v>
      </c>
      <c r="M9" s="35" t="s">
        <v>159</v>
      </c>
      <c r="N9" s="43"/>
      <c r="O9" s="38"/>
      <c r="P9" s="43" t="s">
        <v>160</v>
      </c>
      <c r="Q9" s="19" t="s">
        <v>74</v>
      </c>
      <c r="R9" s="35" t="s">
        <v>161</v>
      </c>
    </row>
    <row r="10" ht="191.25" spans="1:18">
      <c r="A10" s="47" t="s">
        <v>162</v>
      </c>
      <c r="B10" s="43" t="s">
        <v>24</v>
      </c>
      <c r="C10" s="51" t="s">
        <v>24</v>
      </c>
      <c r="D10" s="45" t="s">
        <v>163</v>
      </c>
      <c r="E10" s="35" t="s">
        <v>164</v>
      </c>
      <c r="F10" s="35" t="s">
        <v>165</v>
      </c>
      <c r="G10" s="35" t="s">
        <v>166</v>
      </c>
      <c r="H10" s="46" t="s">
        <v>33</v>
      </c>
      <c r="I10" s="35" t="s">
        <v>167</v>
      </c>
      <c r="J10" s="43" t="s">
        <v>144</v>
      </c>
      <c r="K10" s="35" t="s">
        <v>168</v>
      </c>
      <c r="L10" s="38" t="s">
        <v>169</v>
      </c>
      <c r="M10" s="35" t="s">
        <v>170</v>
      </c>
      <c r="N10" s="43"/>
      <c r="O10" s="38"/>
      <c r="P10" s="43" t="s">
        <v>136</v>
      </c>
      <c r="Q10" s="19" t="s">
        <v>171</v>
      </c>
      <c r="R10" s="35" t="s">
        <v>172</v>
      </c>
    </row>
    <row r="11" ht="165.75" spans="1:18">
      <c r="A11" s="47" t="s">
        <v>173</v>
      </c>
      <c r="B11" s="43" t="s">
        <v>24</v>
      </c>
      <c r="C11" s="51" t="s">
        <v>24</v>
      </c>
      <c r="D11" s="45" t="s">
        <v>174</v>
      </c>
      <c r="E11" s="35" t="s">
        <v>175</v>
      </c>
      <c r="F11" s="35" t="s">
        <v>176</v>
      </c>
      <c r="G11" s="35" t="s">
        <v>177</v>
      </c>
      <c r="H11" s="46" t="s">
        <v>33</v>
      </c>
      <c r="I11" s="35" t="s">
        <v>178</v>
      </c>
      <c r="J11" s="43" t="s">
        <v>144</v>
      </c>
      <c r="K11" s="35" t="s">
        <v>179</v>
      </c>
      <c r="L11" s="35" t="s">
        <v>180</v>
      </c>
      <c r="M11" s="35" t="s">
        <v>181</v>
      </c>
      <c r="N11" s="43"/>
      <c r="O11" s="38"/>
      <c r="P11" s="43" t="s">
        <v>182</v>
      </c>
      <c r="Q11" s="19" t="s">
        <v>74</v>
      </c>
      <c r="R11" s="35" t="s">
        <v>183</v>
      </c>
    </row>
    <row r="12" ht="178.5" spans="1:18">
      <c r="A12" s="47" t="s">
        <v>184</v>
      </c>
      <c r="B12" s="43" t="s">
        <v>24</v>
      </c>
      <c r="C12" s="51" t="s">
        <v>24</v>
      </c>
      <c r="D12" s="45" t="s">
        <v>185</v>
      </c>
      <c r="E12" s="35" t="s">
        <v>186</v>
      </c>
      <c r="F12" s="35" t="s">
        <v>187</v>
      </c>
      <c r="G12" s="35" t="s">
        <v>188</v>
      </c>
      <c r="H12" s="46" t="s">
        <v>33</v>
      </c>
      <c r="I12" s="35" t="s">
        <v>189</v>
      </c>
      <c r="J12" s="43" t="s">
        <v>190</v>
      </c>
      <c r="K12" s="35" t="s">
        <v>191</v>
      </c>
      <c r="L12" s="38" t="s">
        <v>192</v>
      </c>
      <c r="M12" s="35" t="s">
        <v>193</v>
      </c>
      <c r="N12" s="27" t="s">
        <v>87</v>
      </c>
      <c r="O12" s="35" t="s">
        <v>194</v>
      </c>
      <c r="P12" s="43" t="s">
        <v>89</v>
      </c>
      <c r="Q12" s="19" t="s">
        <v>195</v>
      </c>
      <c r="R12" s="35" t="s">
        <v>196</v>
      </c>
    </row>
    <row r="13" ht="127.5" spans="1:18">
      <c r="A13" s="47" t="s">
        <v>197</v>
      </c>
      <c r="B13" s="43" t="s">
        <v>198</v>
      </c>
      <c r="C13" s="52" t="s">
        <v>26</v>
      </c>
      <c r="D13" s="45" t="s">
        <v>199</v>
      </c>
      <c r="E13" s="35" t="s">
        <v>200</v>
      </c>
      <c r="F13" s="35" t="s">
        <v>201</v>
      </c>
      <c r="G13" s="35" t="s">
        <v>202</v>
      </c>
      <c r="H13" s="53" t="s">
        <v>31</v>
      </c>
      <c r="I13" s="35" t="s">
        <v>203</v>
      </c>
      <c r="J13" s="43" t="s">
        <v>204</v>
      </c>
      <c r="K13" s="35" t="s">
        <v>205</v>
      </c>
      <c r="L13" s="38" t="s">
        <v>206</v>
      </c>
      <c r="M13" s="35" t="s">
        <v>207</v>
      </c>
      <c r="N13" s="43"/>
      <c r="O13" s="38"/>
      <c r="P13" s="43" t="s">
        <v>136</v>
      </c>
      <c r="Q13" s="19" t="s">
        <v>208</v>
      </c>
      <c r="R13" s="35" t="s">
        <v>209</v>
      </c>
    </row>
    <row r="14" ht="140.25" spans="1:18">
      <c r="A14" s="47" t="s">
        <v>210</v>
      </c>
      <c r="B14" s="43" t="s">
        <v>198</v>
      </c>
      <c r="C14" s="52" t="s">
        <v>26</v>
      </c>
      <c r="D14" s="45" t="s">
        <v>211</v>
      </c>
      <c r="E14" s="35" t="s">
        <v>212</v>
      </c>
      <c r="F14" s="35" t="s">
        <v>213</v>
      </c>
      <c r="G14" s="35" t="s">
        <v>214</v>
      </c>
      <c r="H14" s="53" t="s">
        <v>31</v>
      </c>
      <c r="I14" s="35" t="s">
        <v>215</v>
      </c>
      <c r="J14" s="43" t="s">
        <v>216</v>
      </c>
      <c r="K14" s="35" t="s">
        <v>217</v>
      </c>
      <c r="L14" s="38" t="s">
        <v>218</v>
      </c>
      <c r="M14" s="38" t="s">
        <v>219</v>
      </c>
      <c r="N14" s="43"/>
      <c r="O14" s="38"/>
      <c r="P14" s="43" t="s">
        <v>89</v>
      </c>
      <c r="Q14" s="19" t="s">
        <v>220</v>
      </c>
      <c r="R14" s="35" t="s">
        <v>221</v>
      </c>
    </row>
    <row r="15" ht="153" spans="1:18">
      <c r="A15" s="47" t="s">
        <v>222</v>
      </c>
      <c r="B15" s="43" t="s">
        <v>198</v>
      </c>
      <c r="C15" s="52" t="s">
        <v>26</v>
      </c>
      <c r="D15" s="45" t="s">
        <v>223</v>
      </c>
      <c r="E15" s="35" t="s">
        <v>224</v>
      </c>
      <c r="F15" s="35" t="s">
        <v>225</v>
      </c>
      <c r="G15" s="35" t="s">
        <v>226</v>
      </c>
      <c r="H15" s="53" t="s">
        <v>31</v>
      </c>
      <c r="I15" s="35" t="s">
        <v>227</v>
      </c>
      <c r="J15" s="43" t="s">
        <v>216</v>
      </c>
      <c r="K15" s="35" t="s">
        <v>228</v>
      </c>
      <c r="L15" s="35" t="s">
        <v>229</v>
      </c>
      <c r="M15" s="35" t="s">
        <v>230</v>
      </c>
      <c r="N15" s="43"/>
      <c r="O15" s="38"/>
      <c r="P15" s="43" t="s">
        <v>231</v>
      </c>
      <c r="Q15" s="19" t="s">
        <v>232</v>
      </c>
      <c r="R15" s="35" t="s">
        <v>233</v>
      </c>
    </row>
    <row r="16" ht="229.5" spans="1:18">
      <c r="A16" s="47" t="s">
        <v>234</v>
      </c>
      <c r="B16" s="43" t="s">
        <v>235</v>
      </c>
      <c r="C16" s="52" t="s">
        <v>26</v>
      </c>
      <c r="D16" s="45" t="s">
        <v>236</v>
      </c>
      <c r="E16" s="35" t="s">
        <v>237</v>
      </c>
      <c r="F16" s="35" t="s">
        <v>238</v>
      </c>
      <c r="G16" s="35" t="s">
        <v>239</v>
      </c>
      <c r="H16" s="53" t="s">
        <v>31</v>
      </c>
      <c r="I16" s="35" t="s">
        <v>240</v>
      </c>
      <c r="J16" s="43" t="s">
        <v>241</v>
      </c>
      <c r="K16" s="35" t="s">
        <v>242</v>
      </c>
      <c r="L16" s="38" t="s">
        <v>243</v>
      </c>
      <c r="M16" s="35" t="s">
        <v>244</v>
      </c>
      <c r="N16" s="43"/>
      <c r="O16" s="38"/>
      <c r="P16" s="43" t="s">
        <v>245</v>
      </c>
      <c r="Q16" s="19" t="s">
        <v>74</v>
      </c>
      <c r="R16" s="35" t="s">
        <v>246</v>
      </c>
    </row>
    <row r="17" ht="165.75" spans="1:18">
      <c r="A17" s="47" t="s">
        <v>247</v>
      </c>
      <c r="B17" s="43" t="s">
        <v>235</v>
      </c>
      <c r="C17" s="52" t="s">
        <v>26</v>
      </c>
      <c r="D17" s="45" t="s">
        <v>248</v>
      </c>
      <c r="E17" s="35" t="s">
        <v>249</v>
      </c>
      <c r="F17" s="35" t="s">
        <v>250</v>
      </c>
      <c r="G17" s="35" t="s">
        <v>251</v>
      </c>
      <c r="H17" s="53" t="s">
        <v>31</v>
      </c>
      <c r="I17" s="35" t="s">
        <v>252</v>
      </c>
      <c r="J17" s="43" t="s">
        <v>97</v>
      </c>
      <c r="K17" s="35" t="s">
        <v>253</v>
      </c>
      <c r="L17" s="38" t="s">
        <v>254</v>
      </c>
      <c r="M17" s="35" t="s">
        <v>255</v>
      </c>
      <c r="N17" s="43"/>
      <c r="O17" s="38"/>
      <c r="P17" s="43" t="s">
        <v>256</v>
      </c>
      <c r="Q17" s="19" t="s">
        <v>257</v>
      </c>
      <c r="R17" s="35" t="s">
        <v>258</v>
      </c>
    </row>
    <row r="18" ht="102" spans="1:18">
      <c r="A18" s="47" t="s">
        <v>259</v>
      </c>
      <c r="B18" s="43" t="s">
        <v>235</v>
      </c>
      <c r="C18" s="52" t="s">
        <v>26</v>
      </c>
      <c r="D18" s="45" t="s">
        <v>260</v>
      </c>
      <c r="E18" s="35" t="s">
        <v>261</v>
      </c>
      <c r="F18" s="35" t="s">
        <v>262</v>
      </c>
      <c r="G18" s="35" t="s">
        <v>263</v>
      </c>
      <c r="H18" s="53" t="s">
        <v>31</v>
      </c>
      <c r="I18" s="35" t="s">
        <v>264</v>
      </c>
      <c r="J18" s="43" t="s">
        <v>265</v>
      </c>
      <c r="K18" s="35" t="s">
        <v>266</v>
      </c>
      <c r="L18" s="35" t="s">
        <v>267</v>
      </c>
      <c r="M18" s="35" t="s">
        <v>268</v>
      </c>
      <c r="N18" s="43"/>
      <c r="O18" s="38"/>
      <c r="P18" s="43" t="s">
        <v>89</v>
      </c>
      <c r="Q18" s="19" t="s">
        <v>269</v>
      </c>
      <c r="R18" s="35" t="s">
        <v>270</v>
      </c>
    </row>
    <row r="19" ht="140.25" spans="1:18">
      <c r="A19" s="47" t="s">
        <v>271</v>
      </c>
      <c r="B19" s="43" t="s">
        <v>272</v>
      </c>
      <c r="C19" s="52" t="s">
        <v>26</v>
      </c>
      <c r="D19" s="45" t="s">
        <v>273</v>
      </c>
      <c r="E19" s="35" t="s">
        <v>274</v>
      </c>
      <c r="F19" s="35" t="s">
        <v>275</v>
      </c>
      <c r="G19" s="35" t="s">
        <v>276</v>
      </c>
      <c r="H19" s="53" t="s">
        <v>31</v>
      </c>
      <c r="I19" s="35" t="s">
        <v>277</v>
      </c>
      <c r="J19" s="43" t="s">
        <v>97</v>
      </c>
      <c r="K19" s="35" t="s">
        <v>278</v>
      </c>
      <c r="L19" s="35" t="s">
        <v>279</v>
      </c>
      <c r="M19" s="35" t="s">
        <v>280</v>
      </c>
      <c r="N19" s="43"/>
      <c r="O19" s="38"/>
      <c r="P19" s="43" t="s">
        <v>136</v>
      </c>
      <c r="Q19" s="19" t="s">
        <v>281</v>
      </c>
      <c r="R19" s="35" t="s">
        <v>282</v>
      </c>
    </row>
    <row r="20" ht="165.75" spans="1:18">
      <c r="A20" s="47" t="s">
        <v>283</v>
      </c>
      <c r="B20" s="43" t="s">
        <v>272</v>
      </c>
      <c r="C20" s="52" t="s">
        <v>26</v>
      </c>
      <c r="D20" s="45" t="s">
        <v>284</v>
      </c>
      <c r="E20" s="35" t="s">
        <v>285</v>
      </c>
      <c r="F20" s="35" t="s">
        <v>286</v>
      </c>
      <c r="G20" s="35" t="s">
        <v>287</v>
      </c>
      <c r="H20" s="54" t="s">
        <v>288</v>
      </c>
      <c r="I20" s="35" t="s">
        <v>289</v>
      </c>
      <c r="J20" s="43" t="s">
        <v>121</v>
      </c>
      <c r="K20" s="35" t="s">
        <v>290</v>
      </c>
      <c r="L20" s="38" t="s">
        <v>291</v>
      </c>
      <c r="M20" s="35" t="s">
        <v>292</v>
      </c>
      <c r="N20" s="27" t="s">
        <v>87</v>
      </c>
      <c r="O20" s="35" t="s">
        <v>293</v>
      </c>
      <c r="P20" s="43" t="s">
        <v>294</v>
      </c>
      <c r="Q20" s="19" t="s">
        <v>295</v>
      </c>
      <c r="R20" s="35" t="s">
        <v>296</v>
      </c>
    </row>
    <row r="21" ht="140.25" spans="1:18">
      <c r="A21" s="47" t="s">
        <v>297</v>
      </c>
      <c r="B21" s="43" t="s">
        <v>272</v>
      </c>
      <c r="C21" s="52" t="s">
        <v>26</v>
      </c>
      <c r="D21" s="45" t="s">
        <v>298</v>
      </c>
      <c r="E21" s="35" t="s">
        <v>299</v>
      </c>
      <c r="F21" s="35" t="s">
        <v>300</v>
      </c>
      <c r="G21" s="35" t="s">
        <v>301</v>
      </c>
      <c r="H21" s="53" t="s">
        <v>31</v>
      </c>
      <c r="I21" s="35" t="s">
        <v>302</v>
      </c>
      <c r="J21" s="43" t="s">
        <v>303</v>
      </c>
      <c r="K21" s="35" t="s">
        <v>304</v>
      </c>
      <c r="L21" s="35" t="s">
        <v>305</v>
      </c>
      <c r="M21" s="35" t="s">
        <v>306</v>
      </c>
      <c r="N21" s="43"/>
      <c r="O21" s="38"/>
      <c r="P21" s="43" t="s">
        <v>136</v>
      </c>
      <c r="Q21" s="19" t="s">
        <v>307</v>
      </c>
      <c r="R21" s="35" t="s">
        <v>308</v>
      </c>
    </row>
    <row r="22" ht="204" spans="1:18">
      <c r="A22" s="47" t="s">
        <v>309</v>
      </c>
      <c r="B22" s="43" t="s">
        <v>310</v>
      </c>
      <c r="C22" s="52" t="s">
        <v>26</v>
      </c>
      <c r="D22" s="45" t="s">
        <v>311</v>
      </c>
      <c r="E22" s="35" t="s">
        <v>312</v>
      </c>
      <c r="F22" s="35" t="s">
        <v>313</v>
      </c>
      <c r="G22" s="35" t="s">
        <v>314</v>
      </c>
      <c r="H22" s="53" t="s">
        <v>31</v>
      </c>
      <c r="I22" s="35" t="s">
        <v>315</v>
      </c>
      <c r="J22" s="43" t="s">
        <v>316</v>
      </c>
      <c r="K22" s="35" t="s">
        <v>317</v>
      </c>
      <c r="L22" s="35" t="s">
        <v>318</v>
      </c>
      <c r="M22" s="35" t="s">
        <v>319</v>
      </c>
      <c r="N22" s="43"/>
      <c r="O22" s="38"/>
      <c r="P22" s="43" t="s">
        <v>320</v>
      </c>
      <c r="Q22" s="19" t="s">
        <v>74</v>
      </c>
      <c r="R22" s="35" t="s">
        <v>321</v>
      </c>
    </row>
    <row r="23" ht="165.75" spans="1:18">
      <c r="A23" s="47" t="s">
        <v>322</v>
      </c>
      <c r="B23" s="43" t="s">
        <v>310</v>
      </c>
      <c r="C23" s="52" t="s">
        <v>26</v>
      </c>
      <c r="D23" s="45" t="s">
        <v>323</v>
      </c>
      <c r="E23" s="35" t="s">
        <v>324</v>
      </c>
      <c r="F23" s="35" t="s">
        <v>325</v>
      </c>
      <c r="G23" s="35" t="s">
        <v>326</v>
      </c>
      <c r="H23" s="53" t="s">
        <v>31</v>
      </c>
      <c r="I23" s="35" t="s">
        <v>327</v>
      </c>
      <c r="J23" s="43" t="s">
        <v>328</v>
      </c>
      <c r="K23" s="35" t="s">
        <v>329</v>
      </c>
      <c r="L23" s="35" t="s">
        <v>330</v>
      </c>
      <c r="M23" s="35" t="s">
        <v>331</v>
      </c>
      <c r="N23" s="43"/>
      <c r="O23" s="38"/>
      <c r="P23" s="43" t="s">
        <v>89</v>
      </c>
      <c r="Q23" s="19" t="s">
        <v>74</v>
      </c>
      <c r="R23" s="35" t="s">
        <v>332</v>
      </c>
    </row>
    <row r="24" ht="242.25" spans="1:18">
      <c r="A24" s="47" t="s">
        <v>333</v>
      </c>
      <c r="B24" s="43" t="s">
        <v>310</v>
      </c>
      <c r="C24" s="52" t="s">
        <v>26</v>
      </c>
      <c r="D24" s="45" t="s">
        <v>334</v>
      </c>
      <c r="E24" s="35" t="s">
        <v>335</v>
      </c>
      <c r="F24" s="35" t="s">
        <v>336</v>
      </c>
      <c r="G24" s="38" t="s">
        <v>337</v>
      </c>
      <c r="H24" s="53" t="s">
        <v>31</v>
      </c>
      <c r="I24" s="35" t="s">
        <v>338</v>
      </c>
      <c r="J24" s="43" t="s">
        <v>328</v>
      </c>
      <c r="K24" s="35" t="s">
        <v>339</v>
      </c>
      <c r="L24" s="38" t="s">
        <v>340</v>
      </c>
      <c r="M24" s="38" t="s">
        <v>341</v>
      </c>
      <c r="N24" s="43"/>
      <c r="O24" s="38"/>
      <c r="P24" s="43" t="s">
        <v>89</v>
      </c>
      <c r="Q24" s="19" t="s">
        <v>342</v>
      </c>
      <c r="R24" s="35" t="s">
        <v>343</v>
      </c>
    </row>
    <row r="25" ht="191.25" spans="1:18">
      <c r="A25" s="47" t="s">
        <v>344</v>
      </c>
      <c r="B25" s="43" t="s">
        <v>28</v>
      </c>
      <c r="C25" s="55" t="s">
        <v>28</v>
      </c>
      <c r="D25" s="45" t="s">
        <v>345</v>
      </c>
      <c r="E25" s="35" t="s">
        <v>346</v>
      </c>
      <c r="F25" s="35" t="s">
        <v>347</v>
      </c>
      <c r="G25" s="35" t="s">
        <v>348</v>
      </c>
      <c r="H25" s="50" t="s">
        <v>35</v>
      </c>
      <c r="I25" s="35" t="s">
        <v>349</v>
      </c>
      <c r="J25" s="43" t="s">
        <v>350</v>
      </c>
      <c r="K25" s="35" t="s">
        <v>351</v>
      </c>
      <c r="L25" s="35" t="s">
        <v>352</v>
      </c>
      <c r="M25" s="35" t="s">
        <v>353</v>
      </c>
      <c r="N25" s="43"/>
      <c r="O25" s="38"/>
      <c r="P25" s="43" t="s">
        <v>354</v>
      </c>
      <c r="Q25" s="19" t="s">
        <v>355</v>
      </c>
      <c r="R25" s="35" t="s">
        <v>356</v>
      </c>
    </row>
    <row r="26" ht="114.75" spans="1:18">
      <c r="A26" s="47" t="s">
        <v>357</v>
      </c>
      <c r="B26" s="43" t="s">
        <v>28</v>
      </c>
      <c r="C26" s="55" t="s">
        <v>28</v>
      </c>
      <c r="D26" s="45" t="s">
        <v>358</v>
      </c>
      <c r="E26" s="35" t="s">
        <v>359</v>
      </c>
      <c r="F26" s="35" t="s">
        <v>360</v>
      </c>
      <c r="G26" s="35" t="s">
        <v>361</v>
      </c>
      <c r="H26" s="46" t="s">
        <v>33</v>
      </c>
      <c r="I26" s="35" t="s">
        <v>362</v>
      </c>
      <c r="J26" s="43" t="s">
        <v>144</v>
      </c>
      <c r="K26" s="35" t="s">
        <v>363</v>
      </c>
      <c r="L26" s="35" t="s">
        <v>364</v>
      </c>
      <c r="M26" s="35" t="s">
        <v>365</v>
      </c>
      <c r="N26" s="43"/>
      <c r="O26" s="38"/>
      <c r="P26" s="43" t="s">
        <v>366</v>
      </c>
      <c r="Q26" s="19" t="s">
        <v>74</v>
      </c>
      <c r="R26" s="35" t="s">
        <v>367</v>
      </c>
    </row>
    <row r="27" ht="153" spans="1:18">
      <c r="A27" s="47" t="s">
        <v>368</v>
      </c>
      <c r="B27" s="43" t="s">
        <v>28</v>
      </c>
      <c r="C27" s="55" t="s">
        <v>28</v>
      </c>
      <c r="D27" s="45" t="s">
        <v>369</v>
      </c>
      <c r="E27" s="35" t="s">
        <v>370</v>
      </c>
      <c r="F27" s="35" t="s">
        <v>371</v>
      </c>
      <c r="G27" s="35" t="s">
        <v>372</v>
      </c>
      <c r="H27" s="19" t="s">
        <v>373</v>
      </c>
      <c r="I27" s="35" t="s">
        <v>374</v>
      </c>
      <c r="J27" s="43" t="s">
        <v>375</v>
      </c>
      <c r="K27" s="35" t="s">
        <v>376</v>
      </c>
      <c r="L27" s="35" t="s">
        <v>377</v>
      </c>
      <c r="M27" s="35" t="s">
        <v>378</v>
      </c>
      <c r="N27" s="19"/>
      <c r="O27" s="38"/>
      <c r="P27" s="43" t="s">
        <v>379</v>
      </c>
      <c r="Q27" s="19" t="s">
        <v>74</v>
      </c>
      <c r="R27" s="35" t="s">
        <v>380</v>
      </c>
    </row>
    <row r="28" ht="191.25" spans="1:18">
      <c r="A28" s="47" t="s">
        <v>381</v>
      </c>
      <c r="B28" s="43" t="s">
        <v>28</v>
      </c>
      <c r="C28" s="55" t="s">
        <v>28</v>
      </c>
      <c r="D28" s="45" t="s">
        <v>382</v>
      </c>
      <c r="E28" s="35" t="s">
        <v>383</v>
      </c>
      <c r="F28" s="35" t="s">
        <v>384</v>
      </c>
      <c r="G28" s="35" t="s">
        <v>385</v>
      </c>
      <c r="H28" s="19" t="s">
        <v>373</v>
      </c>
      <c r="I28" s="35" t="s">
        <v>386</v>
      </c>
      <c r="J28" s="43" t="s">
        <v>375</v>
      </c>
      <c r="K28" s="35" t="s">
        <v>376</v>
      </c>
      <c r="L28" s="35" t="s">
        <v>387</v>
      </c>
      <c r="M28" s="35" t="s">
        <v>388</v>
      </c>
      <c r="N28" s="19"/>
      <c r="O28" s="38"/>
      <c r="P28" s="43" t="s">
        <v>389</v>
      </c>
      <c r="Q28" s="19" t="s">
        <v>390</v>
      </c>
      <c r="R28" s="35" t="s">
        <v>391</v>
      </c>
    </row>
  </sheetData>
  <autoFilter xmlns:etc="http://www.wps.cn/officeDocument/2017/etCustomData" ref="A1:R28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workbookViewId="0">
      <selection activeCell="C7" sqref="C7"/>
    </sheetView>
  </sheetViews>
  <sheetFormatPr defaultColWidth="8.68141592920354" defaultRowHeight="14.25" outlineLevelCol="5"/>
  <cols>
    <col min="1" max="1" width="14" style="31" customWidth="1"/>
    <col min="2" max="2" width="30" style="31" customWidth="1"/>
    <col min="3" max="3" width="44" style="31" customWidth="1"/>
    <col min="4" max="4" width="34" style="31" customWidth="1"/>
    <col min="5" max="5" width="22" style="31" customWidth="1"/>
    <col min="6" max="6" width="40" style="31" customWidth="1"/>
    <col min="7" max="16384" width="8.68141592920354" style="31"/>
  </cols>
  <sheetData>
    <row r="1" ht="17.65" spans="1:6">
      <c r="A1" s="32" t="s">
        <v>392</v>
      </c>
    </row>
    <row r="2" ht="31.5" customHeight="1" spans="1:6">
      <c r="A2" s="33" t="s">
        <v>393</v>
      </c>
      <c r="B2" s="33"/>
      <c r="C2" s="33"/>
      <c r="D2" s="33"/>
      <c r="E2" s="33"/>
      <c r="F2" s="33"/>
    </row>
    <row r="4" spans="1:6">
      <c r="A4" s="4" t="s">
        <v>46</v>
      </c>
      <c r="B4" s="4" t="s">
        <v>394</v>
      </c>
      <c r="C4" s="4" t="s">
        <v>395</v>
      </c>
      <c r="D4" s="4" t="s">
        <v>396</v>
      </c>
      <c r="E4" s="4" t="s">
        <v>397</v>
      </c>
      <c r="F4" s="4" t="s">
        <v>398</v>
      </c>
    </row>
    <row r="5" ht="61.5" customHeight="1" spans="1:6">
      <c r="A5" s="34" t="s">
        <v>26</v>
      </c>
      <c r="B5" s="35" t="s">
        <v>399</v>
      </c>
      <c r="C5" s="35" t="s">
        <v>400</v>
      </c>
      <c r="D5" s="35" t="s">
        <v>401</v>
      </c>
      <c r="E5" s="35" t="s">
        <v>402</v>
      </c>
      <c r="F5" s="35" t="s">
        <v>403</v>
      </c>
    </row>
    <row r="6" ht="61.5" customHeight="1" spans="1:6">
      <c r="A6" s="36" t="s">
        <v>24</v>
      </c>
      <c r="B6" s="35" t="s">
        <v>404</v>
      </c>
      <c r="C6" s="35" t="s">
        <v>405</v>
      </c>
      <c r="D6" s="35" t="s">
        <v>406</v>
      </c>
      <c r="E6" s="35" t="s">
        <v>407</v>
      </c>
      <c r="F6" s="35" t="s">
        <v>408</v>
      </c>
    </row>
    <row r="7" ht="61.5" customHeight="1" spans="1:6">
      <c r="A7" s="27" t="s">
        <v>409</v>
      </c>
      <c r="B7" s="35" t="s">
        <v>410</v>
      </c>
      <c r="C7" s="35" t="s">
        <v>411</v>
      </c>
      <c r="D7" s="35" t="s">
        <v>412</v>
      </c>
      <c r="E7" s="35" t="s">
        <v>413</v>
      </c>
      <c r="F7" s="35" t="s">
        <v>414</v>
      </c>
    </row>
    <row r="8" ht="61.5" customHeight="1" spans="1:6">
      <c r="A8" s="37" t="s">
        <v>28</v>
      </c>
      <c r="B8" s="35" t="s">
        <v>415</v>
      </c>
      <c r="C8" s="35" t="s">
        <v>416</v>
      </c>
      <c r="D8" s="35" t="s">
        <v>417</v>
      </c>
      <c r="E8" s="38" t="s">
        <v>373</v>
      </c>
      <c r="F8" s="35" t="s">
        <v>418</v>
      </c>
    </row>
    <row r="9" ht="61.5" customHeight="1" spans="1:6">
      <c r="A9" s="39" t="s">
        <v>20</v>
      </c>
      <c r="B9" s="35" t="s">
        <v>419</v>
      </c>
      <c r="C9" s="35" t="s">
        <v>420</v>
      </c>
      <c r="D9" s="35" t="s">
        <v>421</v>
      </c>
      <c r="E9" s="35" t="s">
        <v>422</v>
      </c>
      <c r="F9" s="35" t="s">
        <v>423</v>
      </c>
    </row>
    <row r="12" spans="1:6">
      <c r="A12" s="40" t="s">
        <v>424</v>
      </c>
    </row>
    <row r="13" ht="31.5" customHeight="1" spans="1:6">
      <c r="A13" s="33" t="s">
        <v>425</v>
      </c>
      <c r="B13" s="33"/>
      <c r="C13" s="33"/>
      <c r="D13" s="33"/>
      <c r="E13" s="33"/>
      <c r="F13" s="33"/>
    </row>
    <row r="15" spans="1:6">
      <c r="A15" s="40" t="s">
        <v>426</v>
      </c>
    </row>
    <row r="16" ht="72" customHeight="1" spans="1:6">
      <c r="A16" s="33" t="s">
        <v>427</v>
      </c>
      <c r="B16" s="33"/>
      <c r="C16" s="33"/>
      <c r="D16" s="33"/>
      <c r="E16" s="33"/>
      <c r="F16" s="33"/>
    </row>
    <row r="18" spans="1:6">
      <c r="A18" s="40" t="s">
        <v>428</v>
      </c>
    </row>
    <row r="19" ht="31.5" customHeight="1" spans="1:6">
      <c r="A19" s="33" t="s">
        <v>429</v>
      </c>
      <c r="B19" s="33"/>
      <c r="C19" s="33"/>
      <c r="D19" s="33"/>
      <c r="E19" s="33"/>
      <c r="F19" s="33"/>
    </row>
    <row r="21" spans="1:6">
      <c r="A21" s="40" t="s">
        <v>430</v>
      </c>
    </row>
    <row r="22" ht="60" customHeight="1" spans="1:6">
      <c r="A22" s="33" t="s">
        <v>431</v>
      </c>
      <c r="B22" s="33"/>
      <c r="C22" s="33"/>
      <c r="D22" s="33"/>
      <c r="E22" s="33"/>
      <c r="F22" s="33"/>
    </row>
  </sheetData>
  <mergeCells count="5">
    <mergeCell ref="A2:F2"/>
    <mergeCell ref="A13:F13"/>
    <mergeCell ref="A16:F16"/>
    <mergeCell ref="A19:F19"/>
    <mergeCell ref="A22:F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showGridLines="0" workbookViewId="0">
      <selection activeCell="A1" sqref="A1"/>
    </sheetView>
  </sheetViews>
  <sheetFormatPr defaultColWidth="8.68141592920354" defaultRowHeight="14.25" outlineLevelCol="6"/>
  <cols>
    <col min="1" max="1" width="6" customWidth="1"/>
    <col min="2" max="2" width="22" customWidth="1"/>
    <col min="3" max="5" width="34" customWidth="1"/>
    <col min="6" max="6" width="46" customWidth="1"/>
    <col min="7" max="7" width="40" customWidth="1"/>
  </cols>
  <sheetData>
    <row r="1" ht="17.6" spans="1:7">
      <c r="A1" s="1" t="s">
        <v>432</v>
      </c>
    </row>
    <row r="2" ht="43.5" customHeight="1" spans="1:7">
      <c r="A2" s="24" t="s">
        <v>433</v>
      </c>
      <c r="B2" s="24"/>
      <c r="C2" s="24"/>
      <c r="D2" s="24"/>
      <c r="E2" s="24"/>
      <c r="F2" s="24"/>
      <c r="G2" s="24"/>
    </row>
    <row r="4" spans="1:7">
      <c r="A4" s="3" t="s">
        <v>434</v>
      </c>
      <c r="B4" s="4" t="s">
        <v>435</v>
      </c>
      <c r="C4" s="4" t="s">
        <v>436</v>
      </c>
      <c r="D4" s="4" t="s">
        <v>437</v>
      </c>
      <c r="E4" s="4" t="s">
        <v>438</v>
      </c>
      <c r="F4" s="4" t="s">
        <v>439</v>
      </c>
      <c r="G4" s="4" t="s">
        <v>440</v>
      </c>
    </row>
    <row r="5" ht="96" customHeight="1" spans="1:7">
      <c r="A5" s="27" t="s">
        <v>441</v>
      </c>
      <c r="B5" s="7" t="s">
        <v>442</v>
      </c>
      <c r="C5" s="28" t="s">
        <v>443</v>
      </c>
      <c r="D5" s="29" t="s">
        <v>444</v>
      </c>
      <c r="E5" s="8" t="s">
        <v>445</v>
      </c>
      <c r="F5" s="8" t="s">
        <v>446</v>
      </c>
      <c r="G5" s="8" t="s">
        <v>447</v>
      </c>
    </row>
    <row r="6" ht="96" customHeight="1" spans="1:7">
      <c r="A6" s="27" t="s">
        <v>448</v>
      </c>
      <c r="B6" s="7" t="s">
        <v>449</v>
      </c>
      <c r="C6" s="28" t="s">
        <v>450</v>
      </c>
      <c r="D6" s="29" t="s">
        <v>451</v>
      </c>
      <c r="E6" s="8" t="s">
        <v>452</v>
      </c>
      <c r="F6" s="8" t="s">
        <v>453</v>
      </c>
      <c r="G6" s="8" t="s">
        <v>454</v>
      </c>
    </row>
    <row r="7" ht="96" customHeight="1" spans="1:7">
      <c r="A7" s="27" t="s">
        <v>455</v>
      </c>
      <c r="B7" s="7" t="s">
        <v>456</v>
      </c>
      <c r="C7" s="28" t="s">
        <v>457</v>
      </c>
      <c r="D7" s="29" t="s">
        <v>458</v>
      </c>
      <c r="E7" s="8" t="s">
        <v>459</v>
      </c>
      <c r="F7" s="8" t="s">
        <v>460</v>
      </c>
      <c r="G7" s="8" t="s">
        <v>461</v>
      </c>
    </row>
    <row r="8" ht="96" customHeight="1" spans="1:7">
      <c r="A8" s="27" t="s">
        <v>462</v>
      </c>
      <c r="B8" s="7" t="s">
        <v>463</v>
      </c>
      <c r="C8" s="28" t="s">
        <v>464</v>
      </c>
      <c r="D8" s="29" t="s">
        <v>465</v>
      </c>
      <c r="E8" s="8" t="s">
        <v>466</v>
      </c>
      <c r="F8" s="8" t="s">
        <v>467</v>
      </c>
      <c r="G8" s="8" t="s">
        <v>468</v>
      </c>
    </row>
    <row r="9" ht="96" customHeight="1" spans="1:7">
      <c r="A9" s="27" t="s">
        <v>469</v>
      </c>
      <c r="B9" s="7" t="s">
        <v>470</v>
      </c>
      <c r="C9" s="28" t="s">
        <v>471</v>
      </c>
      <c r="D9" s="29" t="s">
        <v>472</v>
      </c>
      <c r="E9" s="8" t="s">
        <v>473</v>
      </c>
      <c r="F9" s="8" t="s">
        <v>474</v>
      </c>
      <c r="G9" s="8" t="s">
        <v>475</v>
      </c>
    </row>
    <row r="10" ht="96" customHeight="1" spans="1:7">
      <c r="A10" s="27" t="s">
        <v>476</v>
      </c>
      <c r="B10" s="7" t="s">
        <v>477</v>
      </c>
      <c r="C10" s="28" t="s">
        <v>478</v>
      </c>
      <c r="D10" s="29" t="s">
        <v>479</v>
      </c>
      <c r="E10" s="8" t="s">
        <v>480</v>
      </c>
      <c r="F10" s="8" t="s">
        <v>481</v>
      </c>
      <c r="G10" s="8" t="s">
        <v>482</v>
      </c>
    </row>
    <row r="13" spans="1:7">
      <c r="A13" s="30" t="s">
        <v>483</v>
      </c>
    </row>
    <row r="14" ht="109.5" customHeight="1" spans="1:7">
      <c r="A14" s="24" t="s">
        <v>484</v>
      </c>
      <c r="B14" s="24"/>
      <c r="C14" s="24"/>
      <c r="D14" s="24"/>
      <c r="E14" s="24"/>
      <c r="F14" s="24"/>
      <c r="G14" s="24"/>
    </row>
  </sheetData>
  <mergeCells count="2">
    <mergeCell ref="A2:G2"/>
    <mergeCell ref="A14:G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showGridLines="0" workbookViewId="0">
      <selection activeCell="A1" sqref="A1"/>
    </sheetView>
  </sheetViews>
  <sheetFormatPr defaultColWidth="8.68141592920354" defaultRowHeight="14.25" outlineLevelCol="6"/>
  <cols>
    <col min="1" max="1" width="8" customWidth="1"/>
    <col min="2" max="2" width="18" customWidth="1"/>
    <col min="3" max="3" width="24" customWidth="1"/>
    <col min="4" max="4" width="26" customWidth="1"/>
    <col min="5" max="5" width="30" customWidth="1"/>
    <col min="6" max="6" width="20" customWidth="1"/>
    <col min="7" max="7" width="26" customWidth="1"/>
  </cols>
  <sheetData>
    <row r="1" ht="17.65" spans="1:7">
      <c r="A1" s="1" t="s">
        <v>485</v>
      </c>
    </row>
    <row r="2" spans="1:7">
      <c r="A2" s="2" t="s">
        <v>486</v>
      </c>
    </row>
    <row r="4" ht="43.5" customHeight="1" spans="1:7">
      <c r="A4" s="4" t="s">
        <v>44</v>
      </c>
      <c r="B4" s="4" t="s">
        <v>487</v>
      </c>
      <c r="C4" s="4" t="s">
        <v>488</v>
      </c>
      <c r="D4" s="4" t="s">
        <v>489</v>
      </c>
      <c r="E4" s="4" t="s">
        <v>490</v>
      </c>
      <c r="F4" s="4" t="s">
        <v>491</v>
      </c>
      <c r="G4" s="4" t="s">
        <v>492</v>
      </c>
    </row>
    <row r="5" ht="39.75" customHeight="1" spans="1:7">
      <c r="A5" s="12"/>
      <c r="B5" s="13" t="s">
        <v>493</v>
      </c>
      <c r="C5" s="14" t="s">
        <v>494</v>
      </c>
      <c r="D5" s="14" t="s">
        <v>495</v>
      </c>
      <c r="E5" s="15" t="s">
        <v>496</v>
      </c>
      <c r="F5" s="14" t="s">
        <v>497</v>
      </c>
      <c r="G5" s="14" t="s">
        <v>498</v>
      </c>
    </row>
    <row r="6" spans="1:7">
      <c r="A6" s="16" t="s">
        <v>76</v>
      </c>
      <c r="B6" s="17" t="s">
        <v>78</v>
      </c>
      <c r="C6" s="18" t="s">
        <v>499</v>
      </c>
      <c r="D6" s="18" t="s">
        <v>499</v>
      </c>
      <c r="E6" s="18" t="s">
        <v>499</v>
      </c>
      <c r="F6" s="18" t="s">
        <v>499</v>
      </c>
      <c r="G6" s="18" t="s">
        <v>499</v>
      </c>
    </row>
    <row r="7" spans="1:7">
      <c r="A7" s="16" t="s">
        <v>91</v>
      </c>
      <c r="B7" s="17" t="s">
        <v>92</v>
      </c>
      <c r="C7" s="18" t="s">
        <v>499</v>
      </c>
      <c r="D7" s="19" t="s">
        <v>500</v>
      </c>
      <c r="E7" s="19" t="s">
        <v>373</v>
      </c>
      <c r="F7" s="19" t="s">
        <v>500</v>
      </c>
      <c r="G7" s="19" t="s">
        <v>500</v>
      </c>
    </row>
    <row r="8" spans="1:7">
      <c r="A8" s="16" t="s">
        <v>103</v>
      </c>
      <c r="B8" s="17" t="s">
        <v>104</v>
      </c>
      <c r="C8" s="18" t="s">
        <v>499</v>
      </c>
      <c r="D8" s="19" t="s">
        <v>500</v>
      </c>
      <c r="E8" s="19" t="s">
        <v>500</v>
      </c>
      <c r="F8" s="19" t="s">
        <v>500</v>
      </c>
      <c r="G8" s="19" t="s">
        <v>500</v>
      </c>
    </row>
    <row r="9" spans="1:7">
      <c r="A9" s="16" t="s">
        <v>115</v>
      </c>
      <c r="B9" s="17" t="s">
        <v>116</v>
      </c>
      <c r="C9" s="19" t="s">
        <v>500</v>
      </c>
      <c r="D9" s="19" t="s">
        <v>500</v>
      </c>
      <c r="E9" s="18" t="s">
        <v>499</v>
      </c>
      <c r="F9" s="19" t="s">
        <v>373</v>
      </c>
      <c r="G9" s="18" t="s">
        <v>499</v>
      </c>
    </row>
    <row r="10" spans="1:7">
      <c r="A10" s="16" t="s">
        <v>126</v>
      </c>
      <c r="B10" s="20" t="s">
        <v>127</v>
      </c>
      <c r="C10" s="18" t="s">
        <v>499</v>
      </c>
      <c r="D10" s="18" t="s">
        <v>499</v>
      </c>
      <c r="E10" s="18" t="s">
        <v>499</v>
      </c>
      <c r="F10" s="19" t="s">
        <v>500</v>
      </c>
      <c r="G10" s="18" t="s">
        <v>499</v>
      </c>
    </row>
    <row r="11" spans="1:7">
      <c r="A11" s="16" t="s">
        <v>138</v>
      </c>
      <c r="B11" s="17" t="s">
        <v>139</v>
      </c>
      <c r="C11" s="18" t="s">
        <v>499</v>
      </c>
      <c r="D11" s="19" t="s">
        <v>500</v>
      </c>
      <c r="E11" s="19" t="s">
        <v>500</v>
      </c>
      <c r="F11" s="18" t="s">
        <v>499</v>
      </c>
      <c r="G11" s="19" t="s">
        <v>500</v>
      </c>
    </row>
    <row r="12" spans="1:7">
      <c r="A12" s="16" t="s">
        <v>150</v>
      </c>
      <c r="B12" s="20" t="s">
        <v>501</v>
      </c>
      <c r="C12" s="18" t="s">
        <v>499</v>
      </c>
      <c r="D12" s="18" t="s">
        <v>499</v>
      </c>
      <c r="E12" s="18" t="s">
        <v>499</v>
      </c>
      <c r="F12" s="18" t="s">
        <v>499</v>
      </c>
      <c r="G12" s="18" t="s">
        <v>499</v>
      </c>
    </row>
    <row r="13" spans="1:7">
      <c r="A13" s="16" t="s">
        <v>162</v>
      </c>
      <c r="B13" s="17" t="s">
        <v>163</v>
      </c>
      <c r="C13" s="19" t="s">
        <v>500</v>
      </c>
      <c r="D13" s="19" t="s">
        <v>500</v>
      </c>
      <c r="E13" s="18" t="s">
        <v>499</v>
      </c>
      <c r="F13" s="19" t="s">
        <v>373</v>
      </c>
      <c r="G13" s="19" t="s">
        <v>373</v>
      </c>
    </row>
    <row r="14" spans="1:7">
      <c r="A14" s="16" t="s">
        <v>173</v>
      </c>
      <c r="B14" s="17" t="s">
        <v>174</v>
      </c>
      <c r="C14" s="19" t="s">
        <v>500</v>
      </c>
      <c r="D14" s="19" t="s">
        <v>500</v>
      </c>
      <c r="E14" s="18" t="s">
        <v>499</v>
      </c>
      <c r="F14" s="19" t="s">
        <v>373</v>
      </c>
      <c r="G14" s="19" t="s">
        <v>500</v>
      </c>
    </row>
    <row r="15" spans="1:7">
      <c r="A15" s="16" t="s">
        <v>184</v>
      </c>
      <c r="B15" s="17" t="s">
        <v>185</v>
      </c>
      <c r="C15" s="19" t="s">
        <v>500</v>
      </c>
      <c r="D15" s="19" t="s">
        <v>500</v>
      </c>
      <c r="E15" s="19" t="s">
        <v>500</v>
      </c>
      <c r="F15" s="19" t="s">
        <v>500</v>
      </c>
      <c r="G15" s="19" t="s">
        <v>500</v>
      </c>
    </row>
    <row r="16" spans="1:7">
      <c r="A16" s="21" t="s">
        <v>197</v>
      </c>
      <c r="B16" s="17" t="s">
        <v>199</v>
      </c>
      <c r="C16" s="18" t="s">
        <v>499</v>
      </c>
      <c r="D16" s="19" t="s">
        <v>500</v>
      </c>
      <c r="E16" s="19" t="s">
        <v>500</v>
      </c>
      <c r="F16" s="19" t="s">
        <v>500</v>
      </c>
      <c r="G16" s="19" t="s">
        <v>500</v>
      </c>
    </row>
    <row r="17" spans="1:7">
      <c r="A17" s="21" t="s">
        <v>210</v>
      </c>
      <c r="B17" s="17" t="s">
        <v>211</v>
      </c>
      <c r="C17" s="18" t="s">
        <v>499</v>
      </c>
      <c r="D17" s="18" t="s">
        <v>499</v>
      </c>
      <c r="E17" s="19" t="s">
        <v>373</v>
      </c>
      <c r="F17" s="19" t="s">
        <v>500</v>
      </c>
      <c r="G17" s="18" t="s">
        <v>499</v>
      </c>
    </row>
    <row r="18" spans="1:7">
      <c r="A18" s="21" t="s">
        <v>222</v>
      </c>
      <c r="B18" s="17" t="s">
        <v>502</v>
      </c>
      <c r="C18" s="18" t="s">
        <v>499</v>
      </c>
      <c r="D18" s="18" t="s">
        <v>499</v>
      </c>
      <c r="E18" s="19" t="s">
        <v>373</v>
      </c>
      <c r="F18" s="19" t="s">
        <v>500</v>
      </c>
      <c r="G18" s="18" t="s">
        <v>499</v>
      </c>
    </row>
    <row r="19" spans="1:7">
      <c r="A19" s="21" t="s">
        <v>234</v>
      </c>
      <c r="B19" s="17" t="s">
        <v>236</v>
      </c>
      <c r="C19" s="18" t="s">
        <v>499</v>
      </c>
      <c r="D19" s="19" t="s">
        <v>500</v>
      </c>
      <c r="E19" s="19" t="s">
        <v>500</v>
      </c>
      <c r="F19" s="19" t="s">
        <v>500</v>
      </c>
      <c r="G19" s="19" t="s">
        <v>500</v>
      </c>
    </row>
    <row r="20" spans="1:7">
      <c r="A20" s="21" t="s">
        <v>247</v>
      </c>
      <c r="B20" s="17" t="s">
        <v>248</v>
      </c>
      <c r="C20" s="18" t="s">
        <v>499</v>
      </c>
      <c r="D20" s="19" t="s">
        <v>500</v>
      </c>
      <c r="E20" s="19" t="s">
        <v>373</v>
      </c>
      <c r="F20" s="18" t="s">
        <v>499</v>
      </c>
      <c r="G20" s="19" t="s">
        <v>500</v>
      </c>
    </row>
    <row r="21" spans="1:7">
      <c r="A21" s="21" t="s">
        <v>259</v>
      </c>
      <c r="B21" s="17" t="s">
        <v>503</v>
      </c>
      <c r="C21" s="18" t="s">
        <v>499</v>
      </c>
      <c r="D21" s="19" t="s">
        <v>500</v>
      </c>
      <c r="E21" s="19" t="s">
        <v>373</v>
      </c>
      <c r="F21" s="18" t="s">
        <v>499</v>
      </c>
      <c r="G21" s="19" t="s">
        <v>500</v>
      </c>
    </row>
    <row r="22" spans="1:7">
      <c r="A22" s="21" t="s">
        <v>271</v>
      </c>
      <c r="B22" s="17" t="s">
        <v>273</v>
      </c>
      <c r="C22" s="18" t="s">
        <v>499</v>
      </c>
      <c r="D22" s="18" t="s">
        <v>499</v>
      </c>
      <c r="E22" s="19" t="s">
        <v>373</v>
      </c>
      <c r="F22" s="18" t="s">
        <v>499</v>
      </c>
      <c r="G22" s="18" t="s">
        <v>499</v>
      </c>
    </row>
    <row r="23" spans="1:7">
      <c r="A23" s="21" t="s">
        <v>283</v>
      </c>
      <c r="B23" s="17" t="s">
        <v>284</v>
      </c>
      <c r="C23" s="19" t="s">
        <v>500</v>
      </c>
      <c r="D23" s="19" t="s">
        <v>500</v>
      </c>
      <c r="E23" s="19" t="s">
        <v>373</v>
      </c>
      <c r="F23" s="19" t="s">
        <v>500</v>
      </c>
      <c r="G23" s="19" t="s">
        <v>500</v>
      </c>
    </row>
    <row r="24" spans="1:7">
      <c r="A24" s="21" t="s">
        <v>297</v>
      </c>
      <c r="B24" s="17" t="s">
        <v>504</v>
      </c>
      <c r="C24" s="19" t="s">
        <v>500</v>
      </c>
      <c r="D24" s="19" t="s">
        <v>500</v>
      </c>
      <c r="E24" s="19" t="s">
        <v>500</v>
      </c>
      <c r="F24" s="19" t="s">
        <v>500</v>
      </c>
      <c r="G24" s="19" t="s">
        <v>500</v>
      </c>
    </row>
    <row r="25" spans="1:7">
      <c r="A25" s="21" t="s">
        <v>309</v>
      </c>
      <c r="B25" s="20" t="s">
        <v>311</v>
      </c>
      <c r="C25" s="18" t="s">
        <v>499</v>
      </c>
      <c r="D25" s="18" t="s">
        <v>499</v>
      </c>
      <c r="E25" s="19" t="s">
        <v>500</v>
      </c>
      <c r="F25" s="18" t="s">
        <v>499</v>
      </c>
      <c r="G25" s="18" t="s">
        <v>499</v>
      </c>
    </row>
    <row r="26" spans="1:7">
      <c r="A26" s="21" t="s">
        <v>322</v>
      </c>
      <c r="B26" s="17" t="s">
        <v>323</v>
      </c>
      <c r="C26" s="18" t="s">
        <v>499</v>
      </c>
      <c r="D26" s="18" t="s">
        <v>499</v>
      </c>
      <c r="E26" s="19" t="s">
        <v>373</v>
      </c>
      <c r="F26" s="18" t="s">
        <v>499</v>
      </c>
      <c r="G26" s="18" t="s">
        <v>499</v>
      </c>
    </row>
    <row r="27" spans="1:7">
      <c r="A27" s="21" t="s">
        <v>333</v>
      </c>
      <c r="B27" s="20" t="s">
        <v>334</v>
      </c>
      <c r="C27" s="18" t="s">
        <v>499</v>
      </c>
      <c r="D27" s="18" t="s">
        <v>499</v>
      </c>
      <c r="E27" s="19" t="s">
        <v>500</v>
      </c>
      <c r="F27" s="18" t="s">
        <v>499</v>
      </c>
      <c r="G27" s="18" t="s">
        <v>499</v>
      </c>
    </row>
    <row r="28" spans="1:7">
      <c r="A28" s="22" t="s">
        <v>344</v>
      </c>
      <c r="B28" s="17" t="s">
        <v>345</v>
      </c>
      <c r="C28" s="18" t="s">
        <v>499</v>
      </c>
      <c r="D28" s="18" t="s">
        <v>499</v>
      </c>
      <c r="E28" s="18" t="s">
        <v>499</v>
      </c>
      <c r="F28" s="18" t="s">
        <v>499</v>
      </c>
      <c r="G28" s="18" t="s">
        <v>499</v>
      </c>
    </row>
    <row r="29" spans="1:7">
      <c r="A29" s="22" t="s">
        <v>357</v>
      </c>
      <c r="B29" s="17" t="s">
        <v>358</v>
      </c>
      <c r="C29" s="19" t="s">
        <v>500</v>
      </c>
      <c r="D29" s="19" t="s">
        <v>500</v>
      </c>
      <c r="E29" s="18" t="s">
        <v>499</v>
      </c>
      <c r="F29" s="19" t="s">
        <v>500</v>
      </c>
      <c r="G29" s="18" t="s">
        <v>499</v>
      </c>
    </row>
    <row r="30" spans="1:7">
      <c r="A30" s="22" t="s">
        <v>368</v>
      </c>
      <c r="B30" s="17" t="s">
        <v>369</v>
      </c>
      <c r="C30" s="18" t="s">
        <v>499</v>
      </c>
      <c r="D30" s="18" t="s">
        <v>499</v>
      </c>
      <c r="E30" s="18" t="s">
        <v>499</v>
      </c>
      <c r="F30" s="18" t="s">
        <v>499</v>
      </c>
      <c r="G30" s="18" t="s">
        <v>499</v>
      </c>
    </row>
    <row r="31" spans="1:7">
      <c r="A31" s="22" t="s">
        <v>381</v>
      </c>
      <c r="B31" s="17" t="s">
        <v>382</v>
      </c>
      <c r="C31" s="18" t="s">
        <v>499</v>
      </c>
      <c r="D31" s="18" t="s">
        <v>499</v>
      </c>
      <c r="E31" s="19" t="s">
        <v>500</v>
      </c>
      <c r="F31" s="19" t="s">
        <v>500</v>
      </c>
      <c r="G31" s="18" t="s">
        <v>499</v>
      </c>
    </row>
    <row r="34" ht="18" customHeight="1" spans="1:7">
      <c r="A34" s="23" t="s">
        <v>505</v>
      </c>
      <c r="B34" s="23"/>
      <c r="C34" s="23"/>
      <c r="D34" s="23"/>
      <c r="E34" s="23"/>
      <c r="F34" s="23"/>
      <c r="G34" s="23"/>
    </row>
    <row r="35" ht="30" customHeight="1" spans="1:7">
      <c r="A35" s="24" t="s">
        <v>506</v>
      </c>
      <c r="B35" s="24"/>
      <c r="C35" s="24"/>
      <c r="D35" s="24"/>
      <c r="E35" s="24"/>
      <c r="F35" s="24"/>
      <c r="G35" s="24"/>
    </row>
    <row r="36" ht="30" customHeight="1" spans="1:7">
      <c r="A36" s="24" t="s">
        <v>507</v>
      </c>
      <c r="B36" s="24"/>
      <c r="C36" s="24"/>
      <c r="D36" s="24"/>
      <c r="E36" s="24"/>
      <c r="F36" s="24"/>
      <c r="G36" s="24"/>
    </row>
    <row r="37" ht="30" customHeight="1" spans="1:7">
      <c r="A37" s="24" t="s">
        <v>508</v>
      </c>
      <c r="B37" s="24"/>
      <c r="C37" s="24"/>
      <c r="D37" s="24"/>
      <c r="E37" s="24"/>
      <c r="F37" s="24"/>
      <c r="G37" s="24"/>
    </row>
    <row r="38" ht="18" customHeight="1" spans="1:7">
      <c r="A38" s="25"/>
      <c r="B38" s="25"/>
      <c r="C38" s="25"/>
      <c r="D38" s="25"/>
      <c r="E38" s="25"/>
      <c r="F38" s="25"/>
      <c r="G38" s="25"/>
    </row>
    <row r="39" ht="18" customHeight="1" spans="1:7">
      <c r="A39" s="23" t="s">
        <v>509</v>
      </c>
      <c r="B39" s="23"/>
      <c r="C39" s="23"/>
      <c r="D39" s="23"/>
      <c r="E39" s="23"/>
      <c r="F39" s="23"/>
      <c r="G39" s="23"/>
    </row>
    <row r="40" ht="30" customHeight="1" spans="1:7">
      <c r="A40" s="26" t="s">
        <v>510</v>
      </c>
      <c r="B40" s="26"/>
      <c r="C40" s="26"/>
      <c r="D40" s="26"/>
      <c r="E40" s="26"/>
      <c r="F40" s="26"/>
      <c r="G40" s="26"/>
    </row>
    <row r="41" ht="30" customHeight="1" spans="1:7">
      <c r="A41" s="24" t="s">
        <v>511</v>
      </c>
      <c r="B41" s="24"/>
      <c r="C41" s="24"/>
      <c r="D41" s="24"/>
      <c r="E41" s="24"/>
      <c r="F41" s="24"/>
      <c r="G41" s="24"/>
    </row>
    <row r="42" ht="30" customHeight="1" spans="1:7">
      <c r="A42" s="24" t="s">
        <v>512</v>
      </c>
      <c r="B42" s="24"/>
      <c r="C42" s="24"/>
      <c r="D42" s="24"/>
      <c r="E42" s="24"/>
      <c r="F42" s="24"/>
      <c r="G42" s="24"/>
    </row>
    <row r="43" ht="30" customHeight="1" spans="1:7">
      <c r="A43" s="26" t="s">
        <v>513</v>
      </c>
      <c r="B43" s="26"/>
      <c r="C43" s="26"/>
      <c r="D43" s="26"/>
      <c r="E43" s="26"/>
      <c r="F43" s="26"/>
      <c r="G43" s="26"/>
    </row>
  </sheetData>
  <mergeCells count="10"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showGridLines="0" workbookViewId="0">
      <selection activeCell="A1" sqref="A1"/>
    </sheetView>
  </sheetViews>
  <sheetFormatPr defaultColWidth="8.68141592920354" defaultRowHeight="14.25" outlineLevelCol="3"/>
  <cols>
    <col min="1" max="1" width="16" customWidth="1"/>
    <col min="2" max="2" width="44" customWidth="1"/>
    <col min="3" max="3" width="50" customWidth="1"/>
    <col min="4" max="4" width="72" customWidth="1"/>
  </cols>
  <sheetData>
    <row r="1" ht="17.65" spans="1:4">
      <c r="A1" s="1" t="s">
        <v>514</v>
      </c>
    </row>
    <row r="2" spans="1:4">
      <c r="A2" s="2" t="s">
        <v>515</v>
      </c>
    </row>
    <row r="4" spans="1:4">
      <c r="A4" s="4" t="s">
        <v>516</v>
      </c>
      <c r="B4" s="3" t="s">
        <v>517</v>
      </c>
      <c r="C4" s="3" t="s">
        <v>518</v>
      </c>
      <c r="D4" s="4" t="s">
        <v>519</v>
      </c>
    </row>
    <row r="5" ht="90" customHeight="1" spans="1:4">
      <c r="A5" s="10" t="s">
        <v>520</v>
      </c>
      <c r="B5" s="6" t="s">
        <v>521</v>
      </c>
      <c r="C5" s="8" t="s">
        <v>522</v>
      </c>
      <c r="D5" s="8" t="s">
        <v>523</v>
      </c>
    </row>
    <row r="6" ht="90" customHeight="1" spans="1:4">
      <c r="A6" s="11" t="s">
        <v>524</v>
      </c>
      <c r="B6" s="6" t="s">
        <v>525</v>
      </c>
      <c r="C6" s="6" t="s">
        <v>526</v>
      </c>
      <c r="D6" s="8" t="s">
        <v>527</v>
      </c>
    </row>
    <row r="7" ht="90" customHeight="1" spans="1:4">
      <c r="A7" s="11" t="s">
        <v>528</v>
      </c>
      <c r="B7" s="6" t="s">
        <v>529</v>
      </c>
      <c r="C7" s="6" t="s">
        <v>530</v>
      </c>
      <c r="D7" s="8" t="s">
        <v>531</v>
      </c>
    </row>
    <row r="8" ht="90" customHeight="1" spans="1:4">
      <c r="A8" s="11" t="s">
        <v>532</v>
      </c>
      <c r="B8" s="6" t="s">
        <v>533</v>
      </c>
      <c r="C8" s="6" t="s">
        <v>534</v>
      </c>
      <c r="D8" s="8" t="s">
        <v>535</v>
      </c>
    </row>
    <row r="9" ht="90" customHeight="1" spans="1:4">
      <c r="A9" s="11" t="s">
        <v>536</v>
      </c>
      <c r="B9" s="6" t="s">
        <v>537</v>
      </c>
      <c r="C9" s="6" t="s">
        <v>538</v>
      </c>
      <c r="D9" s="8" t="s">
        <v>539</v>
      </c>
    </row>
    <row r="10" ht="90" customHeight="1" spans="1:4">
      <c r="A10" s="11" t="s">
        <v>540</v>
      </c>
      <c r="B10" s="8" t="s">
        <v>541</v>
      </c>
      <c r="C10" s="8" t="s">
        <v>542</v>
      </c>
      <c r="D10" s="8" t="s">
        <v>543</v>
      </c>
    </row>
    <row r="11" ht="90" customHeight="1" spans="1:4">
      <c r="A11" s="11" t="s">
        <v>540</v>
      </c>
      <c r="B11" s="8" t="s">
        <v>544</v>
      </c>
      <c r="C11" s="8" t="s">
        <v>545</v>
      </c>
      <c r="D11" s="8" t="s">
        <v>546</v>
      </c>
    </row>
    <row r="12" ht="90" customHeight="1" spans="1:4">
      <c r="A12" s="11" t="s">
        <v>540</v>
      </c>
      <c r="B12" s="8" t="s">
        <v>547</v>
      </c>
      <c r="C12" s="8" t="s">
        <v>548</v>
      </c>
      <c r="D12" s="8" t="s">
        <v>549</v>
      </c>
    </row>
    <row r="13" ht="90" customHeight="1" spans="1:4">
      <c r="A13" s="11" t="s">
        <v>550</v>
      </c>
      <c r="B13" s="8" t="s">
        <v>551</v>
      </c>
      <c r="C13" s="8" t="s">
        <v>552</v>
      </c>
      <c r="D13" s="8" t="s">
        <v>553</v>
      </c>
    </row>
    <row r="14" ht="90" customHeight="1" spans="1:4">
      <c r="A14" s="10" t="s">
        <v>554</v>
      </c>
      <c r="B14" s="6" t="s">
        <v>373</v>
      </c>
      <c r="C14" s="8" t="s">
        <v>555</v>
      </c>
      <c r="D14" s="8" t="s">
        <v>556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workbookViewId="0">
      <selection activeCell="A1" sqref="A1"/>
    </sheetView>
  </sheetViews>
  <sheetFormatPr defaultColWidth="8.68141592920354" defaultRowHeight="14.25" outlineLevelCol="4"/>
  <cols>
    <col min="1" max="1" width="5" customWidth="1"/>
    <col min="2" max="2" width="20" customWidth="1"/>
    <col min="3" max="3" width="34" customWidth="1"/>
    <col min="4" max="4" width="66" customWidth="1"/>
    <col min="5" max="5" width="62" customWidth="1"/>
  </cols>
  <sheetData>
    <row r="1" ht="17.6" spans="1:5">
      <c r="A1" s="1" t="s">
        <v>557</v>
      </c>
    </row>
    <row r="2" spans="1:5">
      <c r="A2" s="2" t="s">
        <v>558</v>
      </c>
    </row>
    <row r="4" spans="1:5">
      <c r="A4" s="3" t="s">
        <v>434</v>
      </c>
      <c r="B4" s="4" t="s">
        <v>559</v>
      </c>
      <c r="C4" s="4" t="s">
        <v>560</v>
      </c>
      <c r="D4" s="4" t="s">
        <v>561</v>
      </c>
      <c r="E4" s="4" t="s">
        <v>562</v>
      </c>
    </row>
    <row r="5" ht="115.5" customHeight="1" spans="1:5">
      <c r="A5" s="5" t="s">
        <v>563</v>
      </c>
      <c r="B5" s="6" t="s">
        <v>564</v>
      </c>
      <c r="C5" s="7" t="s">
        <v>565</v>
      </c>
      <c r="D5" s="8" t="s">
        <v>566</v>
      </c>
      <c r="E5" s="6" t="s">
        <v>567</v>
      </c>
    </row>
    <row r="6" ht="115.5" customHeight="1" spans="1:5">
      <c r="A6" s="5" t="s">
        <v>568</v>
      </c>
      <c r="B6" s="8" t="s">
        <v>569</v>
      </c>
      <c r="C6" s="7" t="s">
        <v>570</v>
      </c>
      <c r="D6" s="8" t="s">
        <v>571</v>
      </c>
      <c r="E6" s="8" t="s">
        <v>572</v>
      </c>
    </row>
    <row r="7" ht="115.5" customHeight="1" spans="1:5">
      <c r="A7" s="5" t="s">
        <v>573</v>
      </c>
      <c r="B7" s="6" t="s">
        <v>530</v>
      </c>
      <c r="C7" s="9" t="s">
        <v>574</v>
      </c>
      <c r="D7" s="8" t="s">
        <v>575</v>
      </c>
      <c r="E7" s="8" t="s">
        <v>576</v>
      </c>
    </row>
    <row r="8" ht="115.5" customHeight="1" spans="1:5">
      <c r="A8" s="5" t="s">
        <v>577</v>
      </c>
      <c r="B8" s="8" t="s">
        <v>578</v>
      </c>
      <c r="C8" s="9" t="s">
        <v>579</v>
      </c>
      <c r="D8" s="8" t="s">
        <v>580</v>
      </c>
      <c r="E8" s="8" t="s">
        <v>581</v>
      </c>
    </row>
    <row r="9" ht="115.5" customHeight="1" spans="1:5">
      <c r="A9" s="5" t="s">
        <v>582</v>
      </c>
      <c r="B9" s="6" t="s">
        <v>583</v>
      </c>
      <c r="C9" s="7" t="s">
        <v>584</v>
      </c>
      <c r="D9" s="8" t="s">
        <v>585</v>
      </c>
      <c r="E9" s="8" t="s">
        <v>586</v>
      </c>
    </row>
    <row r="10" ht="115.5" customHeight="1" spans="1:5">
      <c r="A10" s="5" t="s">
        <v>587</v>
      </c>
      <c r="B10" s="6" t="s">
        <v>588</v>
      </c>
      <c r="C10" s="9" t="s">
        <v>589</v>
      </c>
      <c r="D10" s="6" t="s">
        <v>590</v>
      </c>
      <c r="E10" s="8" t="s">
        <v>591</v>
      </c>
    </row>
    <row r="11" ht="115.5" customHeight="1" spans="1:5">
      <c r="A11" s="5" t="s">
        <v>592</v>
      </c>
      <c r="B11" s="6" t="s">
        <v>593</v>
      </c>
      <c r="C11" s="7" t="s">
        <v>594</v>
      </c>
      <c r="D11" s="8" t="s">
        <v>595</v>
      </c>
      <c r="E11" s="8" t="s">
        <v>596</v>
      </c>
    </row>
    <row r="12" ht="115.5" customHeight="1" spans="1:5">
      <c r="A12" s="5" t="s">
        <v>597</v>
      </c>
      <c r="B12" s="6" t="s">
        <v>598</v>
      </c>
      <c r="C12" s="7" t="s">
        <v>599</v>
      </c>
      <c r="D12" s="8" t="s">
        <v>600</v>
      </c>
      <c r="E12" s="8" t="s">
        <v>601</v>
      </c>
    </row>
    <row r="13" ht="115.5" customHeight="1" spans="1:5">
      <c r="A13" s="5" t="s">
        <v>602</v>
      </c>
      <c r="B13" s="6" t="s">
        <v>603</v>
      </c>
      <c r="C13" s="7" t="s">
        <v>604</v>
      </c>
      <c r="D13" s="8" t="s">
        <v>605</v>
      </c>
      <c r="E13" s="8" t="s">
        <v>606</v>
      </c>
    </row>
    <row r="14" ht="115.5" customHeight="1" spans="1:5">
      <c r="A14" s="5" t="s">
        <v>607</v>
      </c>
      <c r="B14" s="6" t="s">
        <v>608</v>
      </c>
      <c r="C14" s="7" t="s">
        <v>609</v>
      </c>
      <c r="D14" s="8" t="s">
        <v>610</v>
      </c>
      <c r="E14" s="8" t="s">
        <v>611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说明与图例</vt:lpstr>
      <vt:lpstr>全集总表</vt:lpstr>
      <vt:lpstr>缺失处置规则</vt:lpstr>
      <vt:lpstr>危险区·双栏打架</vt:lpstr>
      <vt:lpstr>解决问题×动作矩阵</vt:lpstr>
      <vt:lpstr>版本变更</vt:lpstr>
      <vt:lpstr>开放问题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FJ遥</cp:lastModifiedBy>
  <cp:revision>0</cp:revision>
  <dcterms:created xsi:type="dcterms:W3CDTF">2026-07-15T11:18:00Z</dcterms:created>
  <dcterms:modified xsi:type="dcterms:W3CDTF">2026-07-16T05:51:32Z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7FF6275ACAD344BD8FE1A2AC37F569CC_13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